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kanaykut/Desktop/Gunluk_Rapor/"/>
    </mc:Choice>
  </mc:AlternateContent>
  <xr:revisionPtr revIDLastSave="0" documentId="13_ncr:1_{B568B197-577F-A946-A697-A2ABB4CE6FCF}" xr6:coauthVersionLast="47" xr6:coauthVersionMax="47" xr10:uidLastSave="{00000000-0000-0000-0000-000000000000}"/>
  <bookViews>
    <workbookView xWindow="0" yWindow="500" windowWidth="28800" windowHeight="15720" tabRatio="903" xr2:uid="{00000000-000D-0000-FFFF-FFFF00000000}"/>
  </bookViews>
  <sheets>
    <sheet name="Anasayfa" sheetId="16" r:id="rId1"/>
    <sheet name="A.K. İLERLEME" sheetId="53" state="hidden" r:id="rId2"/>
    <sheet name="M.B. İLERLEME" sheetId="52" state="hidden" r:id="rId3"/>
    <sheet name="Şablon" sheetId="26" state="hidden" r:id="rId4"/>
  </sheets>
  <definedNames>
    <definedName name="_xlnm._FilterDatabase" localSheetId="0" hidden="1">Anasayfa!$A$17:$BB$19</definedName>
    <definedName name="_xlnm.Print_Area" localSheetId="0">Anasayfa!$B$2:$Q$28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26" i="53" l="1"/>
  <c r="DU25" i="53"/>
  <c r="DU24" i="53"/>
  <c r="DU23" i="53"/>
  <c r="DU20" i="53"/>
  <c r="DR5" i="53"/>
  <c r="DU5" i="53"/>
  <c r="DS5" i="53" s="1"/>
  <c r="DS61" i="52"/>
  <c r="DS43" i="52"/>
  <c r="DS22" i="52"/>
  <c r="DS21" i="52"/>
  <c r="DS6" i="52"/>
  <c r="DS5" i="52"/>
  <c r="N10" i="26"/>
  <c r="O10" i="26"/>
  <c r="F91" i="26"/>
  <c r="F88" i="26"/>
  <c r="F84" i="26"/>
  <c r="F83" i="26"/>
  <c r="F81" i="26"/>
  <c r="F76" i="26"/>
  <c r="F74" i="26"/>
  <c r="F72" i="26"/>
  <c r="F67" i="26"/>
  <c r="E65" i="26"/>
  <c r="F64" i="26"/>
  <c r="F62" i="26"/>
  <c r="F61" i="26"/>
  <c r="F52" i="26"/>
  <c r="F51" i="26"/>
  <c r="F49" i="26"/>
  <c r="F47" i="26"/>
  <c r="F33" i="26"/>
  <c r="F30" i="26"/>
  <c r="F26" i="26"/>
  <c r="F25" i="26"/>
  <c r="F23" i="26"/>
  <c r="F87" i="26"/>
  <c r="E23" i="26"/>
  <c r="E87" i="26" s="1"/>
  <c r="F19" i="26"/>
  <c r="F18" i="26"/>
  <c r="F73" i="26" s="1"/>
  <c r="C14" i="26"/>
  <c r="C8" i="26"/>
  <c r="C7" i="26"/>
  <c r="C6" i="26"/>
  <c r="N3" i="26"/>
  <c r="O11" i="26"/>
  <c r="N9" i="26"/>
  <c r="N13" i="26"/>
  <c r="N7" i="26"/>
  <c r="N6" i="26"/>
  <c r="N11" i="26"/>
  <c r="N14" i="26"/>
  <c r="O13" i="26"/>
  <c r="O15" i="26"/>
  <c r="N15" i="26"/>
  <c r="O14" i="26"/>
  <c r="N12" i="26"/>
  <c r="O12" i="26"/>
  <c r="O4" i="26"/>
  <c r="N5" i="26"/>
  <c r="O8" i="26"/>
  <c r="N4" i="26"/>
  <c r="N8" i="26"/>
  <c r="O9" i="26"/>
  <c r="O6" i="26"/>
  <c r="O7" i="26"/>
  <c r="O5" i="26"/>
  <c r="O3" i="26"/>
  <c r="DT5" i="53" l="1"/>
</calcChain>
</file>

<file path=xl/sharedStrings.xml><?xml version="1.0" encoding="utf-8"?>
<sst xmlns="http://schemas.openxmlformats.org/spreadsheetml/2006/main" count="644" uniqueCount="406">
  <si>
    <t>Günlük Rapor No</t>
  </si>
  <si>
    <t>Tarih</t>
  </si>
  <si>
    <t>GÜNLÜK FAALİYET RAPORU</t>
  </si>
  <si>
    <t>Birim</t>
  </si>
  <si>
    <t>İMALATIN CİNSİ</t>
  </si>
  <si>
    <t>Toplam</t>
  </si>
  <si>
    <t>Kazık Kesimi</t>
  </si>
  <si>
    <t>Adet</t>
  </si>
  <si>
    <t>Yeniden Çakım</t>
  </si>
  <si>
    <t>Tamamlanmayan Kazık Çakımı</t>
  </si>
  <si>
    <t>Ultrasonik Test</t>
  </si>
  <si>
    <t>Prekast Toprak Perdesi
Döşeme Betonu</t>
  </si>
  <si>
    <t>Prekast Toprak Perdesi
Perde Betonu</t>
  </si>
  <si>
    <t>Kazık İçi Beton</t>
  </si>
  <si>
    <t>Kazık İçi Kum Dolgu</t>
  </si>
  <si>
    <t>C35 Prekast Betonu</t>
  </si>
  <si>
    <t>C40 Kazık İçi Betonu</t>
  </si>
  <si>
    <t>Karada Kazık Eki</t>
  </si>
  <si>
    <t>Özel Tip Prekast Betonu</t>
  </si>
  <si>
    <t>Üstyapı Betonu</t>
  </si>
  <si>
    <t>m³</t>
  </si>
  <si>
    <t>C35 Rıhtım Betonu</t>
  </si>
  <si>
    <t>Prekast Montajı</t>
  </si>
  <si>
    <t>Alt Sıra Jüt Dolgu</t>
  </si>
  <si>
    <t>Sıra</t>
  </si>
  <si>
    <t>Üst Sıra Jüt Dolgu</t>
  </si>
  <si>
    <t>Sualtı PE Ceket Uygulaması</t>
  </si>
  <si>
    <t>C16 Ano-1 Grobeton</t>
  </si>
  <si>
    <t>2 Adet PP1, 2 adet PP2 tipi prekast tp döşeme betonu döküldü. (Gece)</t>
  </si>
  <si>
    <t>2 Adet PP1, 2 adet PP2 tipi prekast tp perde betonu döküldü. (Gece)</t>
  </si>
  <si>
    <t>Salıpazarı Kazık Sökümü</t>
  </si>
  <si>
    <t>Salıpazarı Kazık Sürülmesi</t>
  </si>
  <si>
    <t>K493-K496 arasına beton dökülüp, K500-K507 arasına jüt atıldı.</t>
  </si>
  <si>
    <t>K503-K507 arasına özel tip üst prekast toprak perdesi yerleştirildi, prekast montajı yerleştirildi. (Gündüz)</t>
  </si>
  <si>
    <t>K503-K507 Nolu kazıklar arası jüt dolgu imalatı yapıldı ancak tamamlanamadı. (Gündüz-Gece)</t>
  </si>
  <si>
    <t>Salıpazarı Rıhtım Sökümü</t>
  </si>
  <si>
    <t>Ano-1 C40 Su Geçirimsiz Beton</t>
  </si>
  <si>
    <t>Salıpazarı Ön Çakım</t>
  </si>
  <si>
    <t>Salıpazarı Kazık Çakımı</t>
  </si>
  <si>
    <t>m²</t>
  </si>
  <si>
    <t>Mevcut Rıhtım Sökümü</t>
  </si>
  <si>
    <t>C40 Fore Kazık Betonu</t>
  </si>
  <si>
    <t>Karaköy Kazık Çakımı</t>
  </si>
  <si>
    <t>K520, K504, K511, K518 Nolu kazıkların çakımı yapılarak çakım işleri tamamlandı. (Parla+D46)</t>
  </si>
  <si>
    <t>K515, K519, K520, K516, K513, K509 Nolu kazıklarda kum dolgu tamamlandı. (Gece)</t>
  </si>
  <si>
    <t>Kara Kazıkları Sürülmesi</t>
  </si>
  <si>
    <t>K519 Nolu kazığın kazık içi betonu döküldü. (Gece)</t>
  </si>
  <si>
    <t>Kara Kazıkları Çakımı</t>
  </si>
  <si>
    <t>Ano-9B Fore Kazık Forajı</t>
  </si>
  <si>
    <t>Kara Kazıkları Ön Çakım</t>
  </si>
  <si>
    <t>Ano-9B Fore Kazık Betonu</t>
  </si>
  <si>
    <t>Ano-1 2. kademe betonu 97,5 m³ olarak döküldü. (Gece)</t>
  </si>
  <si>
    <t>Ano-9B Kazık Kesimi</t>
  </si>
  <si>
    <t>Kara Kazıkları Forajı</t>
  </si>
  <si>
    <t>Salıpazarı Hidrolik Dolgu</t>
  </si>
  <si>
    <t>Salıpazarı Foraj</t>
  </si>
  <si>
    <t>Kara Kazıkları Betonu</t>
  </si>
  <si>
    <t>C40 Kara Kazığı Betonu</t>
  </si>
  <si>
    <t>Kara Kazıkları Kazık Kesimi</t>
  </si>
  <si>
    <t>Salıpazarı Kazık İçi Beton</t>
  </si>
  <si>
    <t>C40 Salıpazarı Kazık İçi Betonu</t>
  </si>
  <si>
    <t>Polietilen kriterini sağlamayan K520 Nolu kazıkta sualtı PE ceket uygulaması yapıldı. K505 Nolu kazıkta PE kriterinin sağlandığı tespit edildi. (Kalan 0)</t>
  </si>
  <si>
    <t>Salıpazarı Vibroflotasyon</t>
  </si>
  <si>
    <t>Ano-9B Fore Kazık Sürülmesi</t>
  </si>
  <si>
    <t>FK19 Nolu kazığın sürülme işlemi tamamlandı. (Gündüz)</t>
  </si>
  <si>
    <t>Karaköy PE Mapa Tamiri</t>
  </si>
  <si>
    <t>K271, K266, K263, K260, K249, K243, K242, K240, K239, K234, K233, K232, K231, K230, K226, K225, K224 Nolu kazıkların PE mapa tamiri yapıldı.</t>
  </si>
  <si>
    <t>Ano-9B Beton Blok</t>
  </si>
  <si>
    <t>C35 Ano-9B Blok Betonu</t>
  </si>
  <si>
    <t>FK21 Nolu kazıkta foraj işlemi tamamlandı. (Gündüz)</t>
  </si>
  <si>
    <t>FK21 Nolu kazığın kesimi yapıldı. (Gündüz)</t>
  </si>
  <si>
    <t>FK21 Nolu kazığın betonu 82,5 m³ olarak döküldü. (Gece)</t>
  </si>
  <si>
    <t>Ano-9B mevcut rıhtımla kazıklar arasına yerleştirilmek üzere 1,5 m³ blok betonu döküldü.</t>
  </si>
  <si>
    <t>Ano-9B C16 Tesviye Betonu</t>
  </si>
  <si>
    <t>Salıpazarı Hidrolik Dolgu Malzemesi</t>
  </si>
  <si>
    <t>KK48Nolu kazığın ön çakımı yapıldı. (180T Vinç + Çan + D80)</t>
  </si>
  <si>
    <t>Kara Kazıkları Ön Foraj</t>
  </si>
  <si>
    <t>Salıpazarı Ön Foraj</t>
  </si>
  <si>
    <t>Salıpazarı Niteliksiz Dolgu</t>
  </si>
  <si>
    <t>KK69, KK70, KK72, KK73, KK74, KK75, KK76, KK77 Nolu kazıkların kesimi yapıldı. (Gündüz)</t>
  </si>
  <si>
    <t>Barınak Hidrolik Dolgu</t>
  </si>
  <si>
    <t>Barınak Sızdırmazlık Levhası</t>
  </si>
  <si>
    <t>Barınak Foraj</t>
  </si>
  <si>
    <t>Barınak Kazık İçi Beton</t>
  </si>
  <si>
    <t>Orta kısımda sökülen bölgeye yapılan topuk dolgusunun arkasına dökü sahasından loader ile malzeme yüklenerek dolguya devam edildi. (Gündüz)</t>
  </si>
  <si>
    <t>Ano-9B Üstyapı Betonu</t>
  </si>
  <si>
    <t>Kara kazıklarında ön foraja devam edildi. (Gündüz)</t>
  </si>
  <si>
    <t>Yeni test alanının olduğu bölgedeki 3 adet kuyuda vibroflotasyon yapılarak test alanı tamamlandı.</t>
  </si>
  <si>
    <t>Ano-9B 4. kademe betonu 29 m³ olarak döküldü. (Gece)</t>
  </si>
  <si>
    <t>Ø32 Nervürlü İnşaat Demiri</t>
  </si>
  <si>
    <t>Barınak Kazık Sürülmesi</t>
  </si>
  <si>
    <t>Barınak Ön Çakım</t>
  </si>
  <si>
    <t>Salıpazarı rıhtım kazıklarında ön foraja devam edildi. (Gündüz-Gece)</t>
  </si>
  <si>
    <t>Salıpazarı Payanda Çakımı</t>
  </si>
  <si>
    <t>Barınak Kazık Çakımı</t>
  </si>
  <si>
    <t>Salıpazarı Geçici Bağlantı</t>
  </si>
  <si>
    <t>C20 Payanda Kazığı Geçici Başlık Betonu</t>
  </si>
  <si>
    <t>Payanda Kazığı Betonu</t>
  </si>
  <si>
    <t>Ø10 Nervürlü Kangal İnşaat Demiri</t>
  </si>
  <si>
    <t>Jet Grout Santral Temeli Betonu C20</t>
  </si>
  <si>
    <t>KK81, KK82 Nolu ilave kara kazıklarının vibro hammer ile sürümü yapıldı. (180t Vinç + ICE54 vibro)</t>
  </si>
  <si>
    <t>Barınak Payanda Sürümü</t>
  </si>
  <si>
    <t>Barınak Payanda Çakımı</t>
  </si>
  <si>
    <t>KK78, KK79, KK80, KK81, KK82 Nolu kara kazıklarının nihai çakımları yapıldı. (180T Vinç + Çan + D80)</t>
  </si>
  <si>
    <t>S033 Nolu kazığın ön çakımı yapıldı. (Galip Bey+D62)</t>
  </si>
  <si>
    <t>KK78, KK80 Nolu kazıkların forajı tamamlandı. (Gündüz)</t>
  </si>
  <si>
    <t>KK78, KK80 Nolu kara kazıklarının betonu 95 m³ olarak döküldü. (Gece)</t>
  </si>
  <si>
    <t>Salıpazarı Jet Grout</t>
  </si>
  <si>
    <t>Barınak Jet Grout</t>
  </si>
  <si>
    <t>Çelik Boru (Ø1219 - Tw=18 mm, Ø1321 - Tw=18 mm)</t>
  </si>
  <si>
    <t>1219: C17 / 0023 - 1321: C16 / 3087, 3103, 3174, 3203, 3206, 3207, 3208, 3217</t>
  </si>
  <si>
    <t>Jet Grout Çimento CEM 4 /A 42,5</t>
  </si>
  <si>
    <t>P097-P099 Nolu kazıklar arası geçici bağlantı elemanları montajı tamamlandı.</t>
  </si>
  <si>
    <t>C40 Barınak Kazık İçi Betonu</t>
  </si>
  <si>
    <t>B100, B102, B104, B110 Nolu kazıkların birinci çakımı yapıldı, çakım işleri tamamlanmadı. (Sennebogen 180T Vinç + D62)</t>
  </si>
  <si>
    <t xml:space="preserve">S008, S007 Nolu kazıkların sürümü yapıldı. (Sennebogen 180t Vinç + ICE54 Vibro) </t>
  </si>
  <si>
    <t>Salıpazarı Sızdırmazlık Levhası</t>
  </si>
  <si>
    <t>P003, P002, P001 Nolu kazıkların çakımı yapıldı (nihai çakım). (Galip Bey + D62)</t>
  </si>
  <si>
    <t>Salıpazarı Kazı</t>
  </si>
  <si>
    <t>Düzeltme: BP03 Nolu kazığın sürümü 29.10.2017'de yapılmıştır. (180T Vinç + SVR50NF Vibro)</t>
  </si>
  <si>
    <t>29.10.2017'de sürümü yapılan BP03 Nolu kazığın nihai çakımı yapıldı. (180T Vinç + D100)</t>
  </si>
  <si>
    <t>Ton</t>
  </si>
  <si>
    <t>Kazık Beton Yüzeyi Kırımı</t>
  </si>
  <si>
    <t>Sızdırmazlık Levhası - Kazık Bağlantı Kaynağı</t>
  </si>
  <si>
    <t>m</t>
  </si>
  <si>
    <t>Barınak Geçici Bağlantı</t>
  </si>
  <si>
    <t>Barınak kısmı geçici bağlantı imalatları için mobilize olunup çalışmalara başlandı.</t>
  </si>
  <si>
    <t>Kazık içi beton yüzeyi pürüzlendirme işlerine devam edildi. (Gündüz-Gece)</t>
  </si>
  <si>
    <t>Ankraj Levhası Montajı</t>
  </si>
  <si>
    <t>Salıpazarı Grobeton</t>
  </si>
  <si>
    <t>Hafriyat çıkışı olmadı.</t>
  </si>
  <si>
    <t>Tamamlanan Barınak Ano-1 hidrolik dolgusunun tesviyesi yapıldı.</t>
  </si>
  <si>
    <t>Salıpazarı Üstyapı</t>
  </si>
  <si>
    <t>Salıpazarı Koruma Betonu</t>
  </si>
  <si>
    <t>%</t>
  </si>
  <si>
    <t>Salıpazarı İzolasyon</t>
  </si>
  <si>
    <t>LS</t>
  </si>
  <si>
    <t>Salıpazarı Payanda Söküm</t>
  </si>
  <si>
    <t>Payanda Kazığı Sökümü</t>
  </si>
  <si>
    <t>S336-S345 Nolu kazıklar arası jet grout imalatı tamamlandı.</t>
  </si>
  <si>
    <t>Etap-3'te 12 adet 40x40 prekast kazık çekimi denendi, 3 adet çekilebildi, 9 adet kazık kafa kısmından kırıldı.</t>
  </si>
  <si>
    <t>Etap-3 Kazık Sökümü</t>
  </si>
  <si>
    <t>P091 Nolu payanda kazığının deniz tabanından sökümü yapıldı.</t>
  </si>
  <si>
    <t>P001 Nolu payanda kazığı geçici başlık bağlantı betonu döküldü. (Gündüz)</t>
  </si>
  <si>
    <t>Etap-3'te 4 adet başarılı 40x40 prekast kazık çekimi yapıldı.</t>
  </si>
  <si>
    <t>S011-S018 Nolu kazıklar arası sızdırmazlık levhası montajı tamamlandı.</t>
  </si>
  <si>
    <t>Barınak Kazık Sökümü</t>
  </si>
  <si>
    <t>Mendirek kısmında sökümü tamamlanan 40x40 yapma profil kaplı prekast kazıkların temizlenmesine devam edildi.</t>
  </si>
  <si>
    <t>Ano-16/3 ve Ano-17/1 S340 Nolu kazığa kadar diyafram duvar kara tarafı grobetonu döküldü. (Gece)</t>
  </si>
  <si>
    <t>Mendirek-Barınak Gergi-Strut boru imali</t>
  </si>
  <si>
    <t>B177 ve B179 Nolu kazıkların nihai çakımı yapıldı.</t>
  </si>
  <si>
    <t>oyak beton</t>
  </si>
  <si>
    <t>B181 Nolu kazığın forajı tamamlandı.</t>
  </si>
  <si>
    <t>B172 Nolu kazıkların donatıları indirilerek kazık içi betonu 32 m³ olarak döküldü. (Gündüz)</t>
  </si>
  <si>
    <t>Gergi kaynak işleri devam ediyor.</t>
  </si>
  <si>
    <t xml:space="preserve">B058, B059, B060 nolu kazıkların sürümü yapıldı. </t>
  </si>
  <si>
    <t>Barınakta sızdırmazlık levhası montajları devam ediyor. 3 adet levha indirildi. 
B040-B041, B041-B042, B042-B043</t>
  </si>
  <si>
    <t xml:space="preserve">İSKİ hattına denk gelen kazıkların çakım işlerinin tümü tamamlanmıştır. </t>
  </si>
  <si>
    <t>7 adet ankraj levhalarının kaynağına devam edildi. (Gündüz-Gece)</t>
  </si>
  <si>
    <t>Etap-3'te Ano/10 bölgesine gündüz 6 kamyon hidrolik dolgu malzemesi dökülerek hidrolik dolguya devam edildi.</t>
  </si>
  <si>
    <t>S007, S009, S013 Nolu kazıkların kazık içi betonu 126 m³ olarak döküldü. (Gündüz)</t>
  </si>
  <si>
    <t xml:space="preserve">Ano 16-2 ve Ano 16-3'de perde sızdırmazlık lehvası kaynak işleri ve poz 8 kaynakları devam ediyor. </t>
  </si>
  <si>
    <t xml:space="preserve">Ano-16/2 perde izolasyon işleri devam ediyor. </t>
  </si>
  <si>
    <t xml:space="preserve">Wirth ekipmanları ile Etap-3 İSKİ hattı bölgesindeki forajlara devam ediliyor. S011 nolu kazığın forajı tamamlandı ve demir donatı kafesi kuyuya indirildi. Wirth ekipmanı S008 nolu kazığa aktarıldı. </t>
  </si>
  <si>
    <t xml:space="preserve">Ano 17/1 radye demir montaj işleri devam ediliyor. 
Ano 16/2 perde demir montaj işlerine başlandı. </t>
  </si>
  <si>
    <t xml:space="preserve">Etap-3'te rıhtım kesim işleri tekrar başlamıştır. </t>
  </si>
  <si>
    <t>Salıpazarı Üst Yapı</t>
  </si>
  <si>
    <t>F-B</t>
  </si>
  <si>
    <t>J-B</t>
  </si>
  <si>
    <t>SL-B</t>
  </si>
  <si>
    <t>KİB-B</t>
  </si>
  <si>
    <t>ÜY-2</t>
  </si>
  <si>
    <t>PKS-2</t>
  </si>
  <si>
    <t>J-3</t>
  </si>
  <si>
    <t>PKS-3</t>
  </si>
  <si>
    <t>ÜY-3</t>
  </si>
  <si>
    <t>MRS-3</t>
  </si>
  <si>
    <t>HD-3</t>
  </si>
  <si>
    <t>İZ-G</t>
  </si>
  <si>
    <t>MS</t>
  </si>
  <si>
    <t>SLK</t>
  </si>
  <si>
    <t>Kodlar</t>
  </si>
  <si>
    <t>Mendirek-Barınak Gergi-Strut Boru İmali</t>
  </si>
  <si>
    <t>Kod-1</t>
  </si>
  <si>
    <t>Kod-2</t>
  </si>
  <si>
    <t>Kod-3</t>
  </si>
  <si>
    <t>Günlük</t>
  </si>
  <si>
    <t>J-1</t>
  </si>
  <si>
    <t>J-2</t>
  </si>
  <si>
    <t>ÜY-1</t>
  </si>
  <si>
    <t>GÇB-1</t>
  </si>
  <si>
    <t>GÇB-2</t>
  </si>
  <si>
    <t>PKS-1</t>
  </si>
  <si>
    <t>MRS-1</t>
  </si>
  <si>
    <t>MRS-2</t>
  </si>
  <si>
    <t>HD-1</t>
  </si>
  <si>
    <t>HD-2</t>
  </si>
  <si>
    <t>GÇB-3</t>
  </si>
  <si>
    <t>Ano-13/1 izolasyon üzeri koruma betonu döküldü, 14 m³. (Gündüz)</t>
  </si>
  <si>
    <t xml:space="preserve"> </t>
  </si>
  <si>
    <t>Gazbeton Duvar İmalatı</t>
  </si>
  <si>
    <t>GEÇMİŞ</t>
  </si>
  <si>
    <t>adet</t>
  </si>
  <si>
    <t>İnce İşler</t>
  </si>
  <si>
    <t>Meclis Binası</t>
  </si>
  <si>
    <t>Cephe İşleri Meclis Binası</t>
  </si>
  <si>
    <t>A8.a.1</t>
  </si>
  <si>
    <t xml:space="preserve">Cephe Kesme Taş Kaplama İmalatları </t>
  </si>
  <si>
    <t>A8.a.2</t>
  </si>
  <si>
    <t>Cephe Temizlik ve derz işleri</t>
  </si>
  <si>
    <t>A8.a.3</t>
  </si>
  <si>
    <t>Taş görünümlü Cephe Sıvası</t>
  </si>
  <si>
    <t>A8.a.4</t>
  </si>
  <si>
    <t>Taş görünümlü Cephe Boyası</t>
  </si>
  <si>
    <t>A8.a.5</t>
  </si>
  <si>
    <t>Podyum korkuluk imalatı</t>
  </si>
  <si>
    <t>A8.a.6</t>
  </si>
  <si>
    <t>Korkuluk Harpuşta yapılması</t>
  </si>
  <si>
    <t>A8.a.7</t>
  </si>
  <si>
    <t>Cephe Pencere İmalatları</t>
  </si>
  <si>
    <t>A8.a.8</t>
  </si>
  <si>
    <t>Cephe Panjur İmalatları</t>
  </si>
  <si>
    <t>A8.a.9</t>
  </si>
  <si>
    <t>Çatı çinko işleri</t>
  </si>
  <si>
    <t>mt</t>
  </si>
  <si>
    <t>Çatı Katı</t>
  </si>
  <si>
    <t>A8.a.10</t>
  </si>
  <si>
    <t>Zemin Şap/Beton İmalatları</t>
  </si>
  <si>
    <t>A8.a.13</t>
  </si>
  <si>
    <t>Su Yalıtım İmalatları (jeomembran)</t>
  </si>
  <si>
    <t>A8.a.14</t>
  </si>
  <si>
    <t>Isı Yalıtım İmalatları (10 xps)</t>
  </si>
  <si>
    <t>A8.a.12</t>
  </si>
  <si>
    <r>
      <t>Su Yalıtım İmalatları (poliürea)</t>
    </r>
    <r>
      <rPr>
        <b/>
        <sz val="10"/>
        <color rgb="FFFF0000"/>
        <rFont val="Calibri"/>
        <family val="2"/>
        <scheme val="minor"/>
      </rPr>
      <t xml:space="preserve"> (Podyum üstü taş kapl.parapet  bekleyecek)</t>
    </r>
  </si>
  <si>
    <t>A8.a.11</t>
  </si>
  <si>
    <t>Zemin Donatılı Şap İmalatları (kaide dahil)</t>
  </si>
  <si>
    <t>A8.a.17</t>
  </si>
  <si>
    <t>Çakıl Serimi</t>
  </si>
  <si>
    <t>A8.a.15</t>
  </si>
  <si>
    <t>Çatı merdiven çıkış kütlesi sıva imalatı</t>
  </si>
  <si>
    <t>A8.a.16</t>
  </si>
  <si>
    <t>Çatı merdiven çıkış kütlesi boya imalatı</t>
  </si>
  <si>
    <t>A8.a.18</t>
  </si>
  <si>
    <t>Kapı Montajları</t>
  </si>
  <si>
    <t xml:space="preserve">adet </t>
  </si>
  <si>
    <t>Bodrum Kat</t>
  </si>
  <si>
    <t>A8.a.19</t>
  </si>
  <si>
    <t>Duvar İmalatları (mekanik ve elektrikden dolayı kalan kısımlar hariç)</t>
  </si>
  <si>
    <t>A8.a.20</t>
  </si>
  <si>
    <t>Duvar Sıva İmalatları (kaba+ince)</t>
  </si>
  <si>
    <t>A8.a.21</t>
  </si>
  <si>
    <t>Duvar Sıva İmalatları (kara sıva)</t>
  </si>
  <si>
    <t>A8.a.22</t>
  </si>
  <si>
    <t>Duvar Sıva İmalatları (perlitli ince sıva)</t>
  </si>
  <si>
    <t>A8.a.23</t>
  </si>
  <si>
    <t>Tavan Sıva İmalatları (dış cephe+iç cephe)</t>
  </si>
  <si>
    <t>A8.a.24</t>
  </si>
  <si>
    <t>Tavan Saten Sıva İmalatları</t>
  </si>
  <si>
    <t>A8.a.25</t>
  </si>
  <si>
    <t>Zemin Şap/Beton İmalatları (tesviye betonu+şap)</t>
  </si>
  <si>
    <t>A8.a.26</t>
  </si>
  <si>
    <t>Su Yalıtım İmalatları</t>
  </si>
  <si>
    <t>A8.a.27</t>
  </si>
  <si>
    <t>Duvar Boya İmalatları</t>
  </si>
  <si>
    <t>A8.a.28</t>
  </si>
  <si>
    <t>Duvar Kaplama İmalatları</t>
  </si>
  <si>
    <t>A8.a.29</t>
  </si>
  <si>
    <t>Zemin Kaplama İmalatları (epoksi dahil)</t>
  </si>
  <si>
    <t>A8.a.30</t>
  </si>
  <si>
    <t>Tavan Boya İmalatları (Tozumaz kireç badan boya</t>
  </si>
  <si>
    <t>A8.a.31</t>
  </si>
  <si>
    <t>Alçıpan Tavan İmalatları</t>
  </si>
  <si>
    <t>A8.a.32</t>
  </si>
  <si>
    <t>A8.a.33</t>
  </si>
  <si>
    <t>Süpürgelik İmalatları</t>
  </si>
  <si>
    <t>A8.a.34</t>
  </si>
  <si>
    <t>Kompact laminant imalatları</t>
  </si>
  <si>
    <t>A8.a.35</t>
  </si>
  <si>
    <t>Tezgah İşleri</t>
  </si>
  <si>
    <t>Zemin Kat</t>
  </si>
  <si>
    <t>A8.a.36</t>
  </si>
  <si>
    <t>Duvar İmalatları (tuğla duvar hariç mekanikten dolayı)</t>
  </si>
  <si>
    <t>A8.a.37</t>
  </si>
  <si>
    <t>A8.a.38</t>
  </si>
  <si>
    <t>A8.a.39</t>
  </si>
  <si>
    <t>A8.a.40</t>
  </si>
  <si>
    <t>A8.a.41</t>
  </si>
  <si>
    <t>A8.a.42</t>
  </si>
  <si>
    <t>Sürme Su Yalıtım İmalatları</t>
  </si>
  <si>
    <t>A8.a.43</t>
  </si>
  <si>
    <t>A8.a.44</t>
  </si>
  <si>
    <t>Duvar Kaplama İmalatları (akustik ve mdf)</t>
  </si>
  <si>
    <t>A8.a.45</t>
  </si>
  <si>
    <t>Zemin Kaplama İmalatları</t>
  </si>
  <si>
    <t>A8.a.46</t>
  </si>
  <si>
    <t xml:space="preserve">Tavan Boya İmalatları </t>
  </si>
  <si>
    <t>A8.a.47</t>
  </si>
  <si>
    <t>Tavan Kaplama İmalatları</t>
  </si>
  <si>
    <t>A8.a.48</t>
  </si>
  <si>
    <t>Alçıpan Tavan Kaplama</t>
  </si>
  <si>
    <t>A8.a.49</t>
  </si>
  <si>
    <t>A8.a.50</t>
  </si>
  <si>
    <t>A8.a.51</t>
  </si>
  <si>
    <t>Mobilya Montajları ( koltuk )</t>
  </si>
  <si>
    <r>
      <t>1. Kat</t>
    </r>
    <r>
      <rPr>
        <b/>
        <sz val="10"/>
        <color rgb="FFFF0000"/>
        <rFont val="Calibri"/>
        <family val="2"/>
        <scheme val="minor"/>
      </rPr>
      <t xml:space="preserve"> (Kütüphane Tarafı)</t>
    </r>
  </si>
  <si>
    <t>A8.a.52</t>
  </si>
  <si>
    <t>Duvar İmalatları</t>
  </si>
  <si>
    <t>A8.a.53</t>
  </si>
  <si>
    <t>A8.a.54</t>
  </si>
  <si>
    <t>A8.a.55</t>
  </si>
  <si>
    <t>A8.a.56</t>
  </si>
  <si>
    <t>A8.a.57</t>
  </si>
  <si>
    <t>A8.a.58</t>
  </si>
  <si>
    <t>Tesviye Şapı  İmalatları</t>
  </si>
  <si>
    <t>A8.a.59</t>
  </si>
  <si>
    <t>A8.a.60</t>
  </si>
  <si>
    <t>A8.a.61</t>
  </si>
  <si>
    <t>A8.a.62</t>
  </si>
  <si>
    <t>A8.a.63</t>
  </si>
  <si>
    <t>A8.a.64</t>
  </si>
  <si>
    <t>A8.a.65</t>
  </si>
  <si>
    <t>Kargı Tavan Sıva  İmalatı</t>
  </si>
  <si>
    <t>A8.a.66</t>
  </si>
  <si>
    <t>A8.a.67</t>
  </si>
  <si>
    <t>A8.a.68</t>
  </si>
  <si>
    <t>Ahşap imalatları (radyatör nişi ve dolabı)</t>
  </si>
  <si>
    <t>A8.a.69</t>
  </si>
  <si>
    <t>Cam Korkuluk İmalatı</t>
  </si>
  <si>
    <t>Loca</t>
  </si>
  <si>
    <t>A8.a.70</t>
  </si>
  <si>
    <t>A8.a.71</t>
  </si>
  <si>
    <t>A8.a.72</t>
  </si>
  <si>
    <t>A8.a.73</t>
  </si>
  <si>
    <t>A8.a.74</t>
  </si>
  <si>
    <t>A8.a.75</t>
  </si>
  <si>
    <t>A8.a.76</t>
  </si>
  <si>
    <t>A8.a.77</t>
  </si>
  <si>
    <t>A8.a.78</t>
  </si>
  <si>
    <t>A8.a.79</t>
  </si>
  <si>
    <t>A8.a.80</t>
  </si>
  <si>
    <t>A8.a.81</t>
  </si>
  <si>
    <t>Tavan Boya İmalatları (Yangın Boyası Dahil)</t>
  </si>
  <si>
    <t>A8.a.82</t>
  </si>
  <si>
    <t>A8.a.83</t>
  </si>
  <si>
    <t>A8.a.84</t>
  </si>
  <si>
    <t>A8.a.85</t>
  </si>
  <si>
    <t>A8.a.86</t>
  </si>
  <si>
    <t>Koltuk Montaj İmalatları</t>
  </si>
  <si>
    <t>Merdivenler</t>
  </si>
  <si>
    <t>A8.a.87</t>
  </si>
  <si>
    <t>Duvar Sıva (kaba+ince)</t>
  </si>
  <si>
    <t>A8.a.88</t>
  </si>
  <si>
    <t>A8.a.89</t>
  </si>
  <si>
    <t xml:space="preserve">Dökme mozaik merdiven Kaplama </t>
  </si>
  <si>
    <t>A8.a.90</t>
  </si>
  <si>
    <t>Merdiven Korkuluk İmalatı</t>
  </si>
  <si>
    <t>kg</t>
  </si>
  <si>
    <t>A8.a.91</t>
  </si>
  <si>
    <t>Ahşap merrdiven imalatı</t>
  </si>
  <si>
    <t>A8.a.92</t>
  </si>
  <si>
    <t>Kapı montajı</t>
  </si>
  <si>
    <t>A8.a.93</t>
  </si>
  <si>
    <t>Küpeşte</t>
  </si>
  <si>
    <t>Adalı Konağı</t>
  </si>
  <si>
    <t>Cephe İşleri Adalı Konağı</t>
  </si>
  <si>
    <t>Cephe Kesme Taş Kaplama İmalatları (Yonu Taşından Söve, silme, lento, kilit taşı vs.  Yapılması ve Yerine Konması (ayrıştırılmış+yeni) (dahil))</t>
  </si>
  <si>
    <t>Ahşap çatı konstrüksiyonu (Dikmeler, Payandalar, Aşık Mertek, Bağlantı elemanları vs.)</t>
  </si>
  <si>
    <t>6cm Taşyünü Isı Yalıtım İmalatları Ve Lambri Montajı</t>
  </si>
  <si>
    <t>Ahşap Çatı Kaplama İmalatları (2.kat)</t>
  </si>
  <si>
    <t>Çatı Membran Su Yalıtım İmalatları</t>
  </si>
  <si>
    <t>Marsilya Kiremiti Kaplama İmalatları</t>
  </si>
  <si>
    <t>2,5 cm Taşyünü Isı Yalıtım İmalatları</t>
  </si>
  <si>
    <t>Islak Hacim Sürme Su Yalıtım İmalatları</t>
  </si>
  <si>
    <t>Duvar İmalatları (Alçıpan Levha Duvar )</t>
  </si>
  <si>
    <t xml:space="preserve">TOPLAM METRAJ </t>
  </si>
  <si>
    <t xml:space="preserve">YAPILAN İMALAT METRAJI </t>
  </si>
  <si>
    <t xml:space="preserve">KALAN METRAJ </t>
  </si>
  <si>
    <t xml:space="preserve">TOPLAM METRAJ YÜZDESİ </t>
  </si>
  <si>
    <t xml:space="preserve">Zemin Kat ve 1. Kat </t>
  </si>
  <si>
    <t>Moloz Duvar İmalatı</t>
  </si>
  <si>
    <t>Duvar İmalatları (Gazbeton , Harman Tuğla )</t>
  </si>
  <si>
    <t>Tuğla Duvar İmalatı</t>
  </si>
  <si>
    <t>FETİHTEPE CAMİİ GÜÇLENDİRME VE YENİLEME PROJESİ</t>
  </si>
  <si>
    <t>FOTO-1</t>
  </si>
  <si>
    <t>FOTO-2</t>
  </si>
  <si>
    <t>FOTO-3</t>
  </si>
  <si>
    <t>FOTO-4</t>
  </si>
  <si>
    <t>FOTO-5</t>
  </si>
  <si>
    <t>FOTO-6</t>
  </si>
  <si>
    <t>FOTO-7</t>
  </si>
  <si>
    <t>FOTO-8</t>
  </si>
  <si>
    <t xml:space="preserve"> İMALAT FOTOĞRAFLARI</t>
  </si>
  <si>
    <t>Yapılan_is_1</t>
  </si>
  <si>
    <t>Yapılan_is_2</t>
  </si>
  <si>
    <t>Yapılan_is_3</t>
  </si>
  <si>
    <t>Yapılan_is_4</t>
  </si>
  <si>
    <t>Foto_1</t>
  </si>
  <si>
    <t>Foto_2</t>
  </si>
  <si>
    <t>Foto_3</t>
  </si>
  <si>
    <t>Foto_4</t>
  </si>
  <si>
    <t>Foto_5</t>
  </si>
  <si>
    <t>Foto_6</t>
  </si>
  <si>
    <t>Foto_7</t>
  </si>
  <si>
    <t>Foto_8</t>
  </si>
  <si>
    <t>Rapor_No</t>
  </si>
  <si>
    <t>Tarih_No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</si>
</sst>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0.0%"/>
    <numFmt numFmtId="166" formatCode="_-* #,##0.00\ [$€-1]_-;\-* #,##0.00\ [$€-1]_-;_-* &quot;-&quot;??\ [$€-1]_-"/>
    <numFmt numFmtId="167" formatCode="&quot;A.&quot;#,##0"/>
    <numFmt numFmtId="168" formatCode="&quot;A.&quot;#,##0&quot;.a&quot;"/>
    <numFmt numFmtId="169" formatCode="&quot;A8.a.&quot;#,##0"/>
    <numFmt numFmtId="170" formatCode="&quot;A8.b.&quot;#,##0"/>
    <numFmt numFmtId="171" formatCode="yyyy\-mm\-dd;@"/>
    <numFmt numFmtId="172" formatCode="dd/mm/yyyy;@"/>
  </numFmts>
  <fonts count="3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rgb="FFFF000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20"/>
      <name val="Arial"/>
      <family val="2"/>
      <charset val="162"/>
    </font>
    <font>
      <b/>
      <sz val="12"/>
      <name val="Arial"/>
      <family val="2"/>
    </font>
    <font>
      <sz val="11"/>
      <name val="Calibri"/>
      <family val="2"/>
      <charset val="162"/>
      <scheme val="minor"/>
    </font>
    <font>
      <sz val="12.65"/>
      <color theme="1"/>
      <name val="Calibri"/>
      <family val="2"/>
      <charset val="162"/>
    </font>
    <font>
      <sz val="9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  <charset val="162"/>
    </font>
    <font>
      <sz val="8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name val="Calibri"/>
      <family val="2"/>
      <charset val="162"/>
      <scheme val="minor"/>
    </font>
    <font>
      <b/>
      <sz val="10"/>
      <color rgb="FFFF000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sz val="10"/>
      <color rgb="FF0070C0"/>
      <name val="Arial"/>
      <family val="2"/>
      <charset val="162"/>
    </font>
    <font>
      <sz val="12"/>
      <color rgb="FF0070C0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12"/>
      <color theme="0" tint="-0.499984740745262"/>
      <name val="Calibri"/>
      <family val="2"/>
      <charset val="162"/>
      <scheme val="minor"/>
    </font>
    <font>
      <sz val="10"/>
      <color theme="0" tint="-0.499984740745262"/>
      <name val="Arial"/>
      <family val="2"/>
      <charset val="162"/>
    </font>
    <font>
      <b/>
      <sz val="16"/>
      <name val="Arial"/>
      <family val="2"/>
      <charset val="162"/>
    </font>
    <font>
      <sz val="12"/>
      <color theme="1"/>
      <name val="Arial"/>
      <family val="2"/>
      <charset val="162"/>
    </font>
    <font>
      <sz val="11"/>
      <color theme="1"/>
      <name val="Arial"/>
      <family val="2"/>
      <charset val="162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lightGray">
        <fgColor rgb="FF0070C0"/>
        <bgColor auto="1"/>
      </patternFill>
    </fill>
    <fill>
      <patternFill patternType="lightGray">
        <fgColor theme="5" tint="0.59996337778862885"/>
        <bgColor theme="9" tint="0.79998168889431442"/>
      </patternFill>
    </fill>
    <fill>
      <patternFill patternType="solid">
        <fgColor indexed="27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10" fontId="2" fillId="0" borderId="1">
      <alignment horizontal="center" vertical="center"/>
    </xf>
    <xf numFmtId="0" fontId="3" fillId="0" borderId="0"/>
    <xf numFmtId="0" fontId="3" fillId="0" borderId="0"/>
    <xf numFmtId="166" fontId="3" fillId="0" borderId="0"/>
    <xf numFmtId="0" fontId="1" fillId="0" borderId="0"/>
    <xf numFmtId="166" fontId="3" fillId="0" borderId="0"/>
    <xf numFmtId="0" fontId="10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3" fillId="0" borderId="0" xfId="3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11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65" fontId="0" fillId="0" borderId="0" xfId="1" applyNumberFormat="1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" fontId="13" fillId="18" borderId="1" xfId="0" applyNumberFormat="1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168" fontId="16" fillId="20" borderId="45" xfId="8" applyNumberFormat="1" applyFont="1" applyFill="1" applyBorder="1" applyAlignment="1">
      <alignment horizontal="center" vertical="center" wrapText="1"/>
    </xf>
    <xf numFmtId="0" fontId="15" fillId="20" borderId="19" xfId="9" applyFont="1" applyFill="1" applyBorder="1" applyAlignment="1">
      <alignment vertical="center"/>
    </xf>
    <xf numFmtId="169" fontId="16" fillId="4" borderId="46" xfId="8" applyNumberFormat="1" applyFont="1" applyFill="1" applyBorder="1" applyAlignment="1">
      <alignment horizontal="center" vertical="center" wrapText="1"/>
    </xf>
    <xf numFmtId="0" fontId="16" fillId="4" borderId="4" xfId="10" applyFont="1" applyFill="1" applyBorder="1" applyAlignment="1">
      <alignment horizontal="left" vertical="center" wrapText="1"/>
    </xf>
    <xf numFmtId="0" fontId="19" fillId="4" borderId="1" xfId="10" applyFont="1" applyFill="1" applyBorder="1" applyAlignment="1">
      <alignment horizontal="left" vertical="center"/>
    </xf>
    <xf numFmtId="170" fontId="16" fillId="21" borderId="46" xfId="8" applyNumberFormat="1" applyFont="1" applyFill="1" applyBorder="1" applyAlignment="1">
      <alignment horizontal="center" vertical="center" wrapText="1"/>
    </xf>
    <xf numFmtId="0" fontId="18" fillId="0" borderId="4" xfId="11" applyFont="1" applyBorder="1" applyAlignment="1">
      <alignment horizontal="left" vertical="center" wrapText="1"/>
    </xf>
    <xf numFmtId="0" fontId="18" fillId="0" borderId="1" xfId="10" applyFont="1" applyBorder="1" applyAlignment="1">
      <alignment horizontal="center" vertical="center"/>
    </xf>
    <xf numFmtId="0" fontId="22" fillId="0" borderId="1" xfId="10" applyFont="1" applyBorder="1" applyAlignment="1">
      <alignment horizontal="center" vertical="center"/>
    </xf>
    <xf numFmtId="0" fontId="18" fillId="0" borderId="4" xfId="10" applyFont="1" applyBorder="1" applyAlignment="1">
      <alignment horizontal="left" vertical="center" wrapText="1"/>
    </xf>
    <xf numFmtId="0" fontId="16" fillId="4" borderId="4" xfId="11" applyFont="1" applyFill="1" applyBorder="1" applyAlignment="1">
      <alignment horizontal="left" vertical="center" wrapText="1"/>
    </xf>
    <xf numFmtId="0" fontId="19" fillId="4" borderId="1" xfId="11" applyFont="1" applyFill="1" applyBorder="1" applyAlignment="1">
      <alignment horizontal="left" vertical="center"/>
    </xf>
    <xf numFmtId="0" fontId="22" fillId="0" borderId="1" xfId="11" applyFont="1" applyBorder="1" applyAlignment="1">
      <alignment horizontal="center" vertical="center"/>
    </xf>
    <xf numFmtId="164" fontId="18" fillId="0" borderId="11" xfId="11" applyNumberFormat="1" applyFont="1" applyBorder="1" applyAlignment="1">
      <alignment horizontal="center" vertical="center"/>
    </xf>
    <xf numFmtId="164" fontId="23" fillId="4" borderId="11" xfId="11" applyNumberFormat="1" applyFont="1" applyFill="1" applyBorder="1" applyAlignment="1">
      <alignment horizontal="center" vertical="center"/>
    </xf>
    <xf numFmtId="170" fontId="16" fillId="21" borderId="47" xfId="8" applyNumberFormat="1" applyFont="1" applyFill="1" applyBorder="1" applyAlignment="1">
      <alignment horizontal="center" vertical="center" wrapText="1"/>
    </xf>
    <xf numFmtId="0" fontId="18" fillId="0" borderId="41" xfId="11" applyFont="1" applyBorder="1" applyAlignment="1">
      <alignment horizontal="left" vertical="center" wrapText="1"/>
    </xf>
    <xf numFmtId="0" fontId="22" fillId="0" borderId="17" xfId="11" applyFont="1" applyBorder="1" applyAlignment="1">
      <alignment horizontal="center" vertical="center"/>
    </xf>
    <xf numFmtId="167" fontId="24" fillId="19" borderId="44" xfId="8" applyNumberFormat="1" applyFont="1" applyFill="1" applyBorder="1" applyAlignment="1">
      <alignment horizontal="center" vertical="center" wrapText="1"/>
    </xf>
    <xf numFmtId="0" fontId="24" fillId="19" borderId="15" xfId="9" applyFont="1" applyFill="1" applyBorder="1" applyAlignment="1">
      <alignment horizontal="left" vertical="center"/>
    </xf>
    <xf numFmtId="0" fontId="19" fillId="4" borderId="2" xfId="11" applyFont="1" applyFill="1" applyBorder="1" applyAlignment="1">
      <alignment horizontal="left" vertical="center"/>
    </xf>
    <xf numFmtId="0" fontId="22" fillId="0" borderId="2" xfId="11" applyFont="1" applyBorder="1" applyAlignment="1">
      <alignment horizontal="center" vertical="center"/>
    </xf>
    <xf numFmtId="0" fontId="18" fillId="0" borderId="2" xfId="11" applyFont="1" applyBorder="1" applyAlignment="1">
      <alignment horizontal="center" vertical="center"/>
    </xf>
    <xf numFmtId="0" fontId="22" fillId="0" borderId="32" xfId="11" applyFont="1" applyBorder="1" applyAlignment="1">
      <alignment horizontal="center" vertical="center"/>
    </xf>
    <xf numFmtId="0" fontId="22" fillId="0" borderId="35" xfId="11" applyFont="1" applyBorder="1" applyAlignment="1">
      <alignment horizontal="center" vertical="center"/>
    </xf>
    <xf numFmtId="170" fontId="16" fillId="21" borderId="49" xfId="8" applyNumberFormat="1" applyFont="1" applyFill="1" applyBorder="1" applyAlignment="1">
      <alignment horizontal="center" vertical="center" wrapText="1"/>
    </xf>
    <xf numFmtId="0" fontId="18" fillId="0" borderId="50" xfId="11" applyFont="1" applyBorder="1" applyAlignment="1">
      <alignment horizontal="left" vertical="center" wrapText="1"/>
    </xf>
    <xf numFmtId="0" fontId="17" fillId="20" borderId="21" xfId="9" applyFont="1" applyFill="1" applyBorder="1" applyAlignment="1">
      <alignment vertical="center"/>
    </xf>
    <xf numFmtId="0" fontId="19" fillId="4" borderId="43" xfId="11" applyFont="1" applyFill="1" applyBorder="1" applyAlignment="1">
      <alignment horizontal="left" vertical="center"/>
    </xf>
    <xf numFmtId="0" fontId="22" fillId="0" borderId="3" xfId="11" applyFont="1" applyBorder="1" applyAlignment="1">
      <alignment horizontal="center" vertical="center"/>
    </xf>
    <xf numFmtId="0" fontId="18" fillId="0" borderId="3" xfId="11" applyFont="1" applyBorder="1" applyAlignment="1">
      <alignment horizontal="center" vertical="center"/>
    </xf>
    <xf numFmtId="0" fontId="19" fillId="4" borderId="3" xfId="11" applyFont="1" applyFill="1" applyBorder="1" applyAlignment="1">
      <alignment horizontal="left" vertical="center"/>
    </xf>
    <xf numFmtId="0" fontId="22" fillId="0" borderId="42" xfId="11" applyFont="1" applyBorder="1" applyAlignment="1">
      <alignment horizontal="center" vertical="center"/>
    </xf>
    <xf numFmtId="0" fontId="22" fillId="0" borderId="28" xfId="11" applyFont="1" applyBorder="1" applyAlignment="1">
      <alignment horizontal="center" vertical="center"/>
    </xf>
    <xf numFmtId="0" fontId="22" fillId="0" borderId="11" xfId="11" applyFont="1" applyBorder="1" applyAlignment="1">
      <alignment horizontal="center" vertical="center"/>
    </xf>
    <xf numFmtId="0" fontId="22" fillId="0" borderId="11" xfId="10" applyFont="1" applyBorder="1" applyAlignment="1">
      <alignment horizontal="center" vertical="center"/>
    </xf>
    <xf numFmtId="0" fontId="18" fillId="0" borderId="11" xfId="11" applyFont="1" applyBorder="1" applyAlignment="1">
      <alignment horizontal="center" vertical="center"/>
    </xf>
    <xf numFmtId="0" fontId="19" fillId="4" borderId="11" xfId="11" applyFont="1" applyFill="1" applyBorder="1" applyAlignment="1">
      <alignment horizontal="left" vertical="center"/>
    </xf>
    <xf numFmtId="0" fontId="22" fillId="0" borderId="43" xfId="11" applyFont="1" applyBorder="1" applyAlignment="1">
      <alignment horizontal="center" vertical="center"/>
    </xf>
    <xf numFmtId="0" fontId="19" fillId="4" borderId="4" xfId="10" applyFont="1" applyFill="1" applyBorder="1" applyAlignment="1">
      <alignment horizontal="left" vertical="center"/>
    </xf>
    <xf numFmtId="0" fontId="22" fillId="0" borderId="5" xfId="10" applyFont="1" applyBorder="1" applyAlignment="1">
      <alignment horizontal="center" vertical="center"/>
    </xf>
    <xf numFmtId="0" fontId="22" fillId="0" borderId="50" xfId="10" applyFont="1" applyBorder="1" applyAlignment="1">
      <alignment horizontal="center" vertical="center"/>
    </xf>
    <xf numFmtId="0" fontId="22" fillId="0" borderId="4" xfId="10" applyFont="1" applyBorder="1" applyAlignment="1">
      <alignment horizontal="center" vertical="center"/>
    </xf>
    <xf numFmtId="0" fontId="18" fillId="0" borderId="4" xfId="10" applyFont="1" applyBorder="1" applyAlignment="1">
      <alignment horizontal="center" vertical="center"/>
    </xf>
    <xf numFmtId="0" fontId="19" fillId="4" borderId="4" xfId="11" applyFont="1" applyFill="1" applyBorder="1" applyAlignment="1">
      <alignment horizontal="left" vertical="center"/>
    </xf>
    <xf numFmtId="0" fontId="22" fillId="0" borderId="4" xfId="11" applyFont="1" applyBorder="1" applyAlignment="1">
      <alignment horizontal="center" vertical="center"/>
    </xf>
    <xf numFmtId="0" fontId="20" fillId="19" borderId="8" xfId="9" applyFont="1" applyFill="1" applyBorder="1" applyAlignment="1">
      <alignment horizontal="center" vertical="center"/>
    </xf>
    <xf numFmtId="0" fontId="19" fillId="4" borderId="11" xfId="10" applyFont="1" applyFill="1" applyBorder="1" applyAlignment="1">
      <alignment horizontal="left" vertical="center"/>
    </xf>
    <xf numFmtId="0" fontId="18" fillId="0" borderId="11" xfId="10" applyFont="1" applyBorder="1" applyAlignment="1">
      <alignment horizontal="center" vertical="center"/>
    </xf>
    <xf numFmtId="0" fontId="22" fillId="0" borderId="28" xfId="10" applyFont="1" applyBorder="1" applyAlignment="1">
      <alignment horizontal="center" vertical="center"/>
    </xf>
    <xf numFmtId="169" fontId="16" fillId="4" borderId="47" xfId="8" applyNumberFormat="1" applyFont="1" applyFill="1" applyBorder="1" applyAlignment="1">
      <alignment horizontal="center" vertical="center" wrapText="1"/>
    </xf>
    <xf numFmtId="0" fontId="16" fillId="4" borderId="41" xfId="10" applyFont="1" applyFill="1" applyBorder="1" applyAlignment="1">
      <alignment horizontal="left" vertical="center" wrapText="1"/>
    </xf>
    <xf numFmtId="0" fontId="19" fillId="4" borderId="43" xfId="10" applyFont="1" applyFill="1" applyBorder="1" applyAlignment="1">
      <alignment horizontal="left" vertical="center"/>
    </xf>
    <xf numFmtId="164" fontId="22" fillId="0" borderId="11" xfId="10" applyNumberFormat="1" applyFont="1" applyBorder="1" applyAlignment="1">
      <alignment horizontal="center" vertical="center"/>
    </xf>
    <xf numFmtId="164" fontId="19" fillId="4" borderId="11" xfId="10" applyNumberFormat="1" applyFont="1" applyFill="1" applyBorder="1" applyAlignment="1">
      <alignment horizontal="center" vertical="center"/>
    </xf>
    <xf numFmtId="164" fontId="18" fillId="0" borderId="11" xfId="10" applyNumberFormat="1" applyFont="1" applyBorder="1" applyAlignment="1">
      <alignment horizontal="center" vertical="center"/>
    </xf>
    <xf numFmtId="1" fontId="22" fillId="0" borderId="11" xfId="10" applyNumberFormat="1" applyFont="1" applyBorder="1" applyAlignment="1">
      <alignment horizontal="center" vertical="center"/>
    </xf>
    <xf numFmtId="0" fontId="22" fillId="0" borderId="41" xfId="11" applyFont="1" applyBorder="1" applyAlignment="1">
      <alignment horizontal="center" vertical="center"/>
    </xf>
    <xf numFmtId="164" fontId="18" fillId="0" borderId="43" xfId="11" applyNumberFormat="1" applyFont="1" applyBorder="1" applyAlignment="1">
      <alignment horizontal="center" vertical="center"/>
    </xf>
    <xf numFmtId="10" fontId="0" fillId="0" borderId="0" xfId="1" applyNumberFormat="1" applyFont="1"/>
    <xf numFmtId="0" fontId="15" fillId="0" borderId="8" xfId="9" applyFont="1" applyBorder="1" applyAlignment="1">
      <alignment horizontal="center" vertical="center"/>
    </xf>
    <xf numFmtId="0" fontId="17" fillId="0" borderId="21" xfId="9" applyFont="1" applyBorder="1" applyAlignment="1">
      <alignment vertical="center"/>
    </xf>
    <xf numFmtId="0" fontId="15" fillId="0" borderId="25" xfId="9" applyFont="1" applyBorder="1" applyAlignment="1">
      <alignment vertical="center"/>
    </xf>
    <xf numFmtId="0" fontId="16" fillId="4" borderId="26" xfId="11" applyFont="1" applyFill="1" applyBorder="1" applyAlignment="1">
      <alignment horizontal="left" vertical="center" wrapText="1"/>
    </xf>
    <xf numFmtId="0" fontId="18" fillId="0" borderId="10" xfId="11" applyFont="1" applyBorder="1" applyAlignment="1">
      <alignment horizontal="left" vertical="center" wrapText="1"/>
    </xf>
    <xf numFmtId="0" fontId="16" fillId="4" borderId="12" xfId="11" applyFont="1" applyFill="1" applyBorder="1" applyAlignment="1">
      <alignment horizontal="left" vertical="center" wrapText="1"/>
    </xf>
    <xf numFmtId="0" fontId="18" fillId="0" borderId="12" xfId="11" applyFont="1" applyBorder="1" applyAlignment="1">
      <alignment horizontal="left" vertical="center" wrapText="1"/>
    </xf>
    <xf numFmtId="0" fontId="18" fillId="0" borderId="12" xfId="10" applyFont="1" applyBorder="1" applyAlignment="1">
      <alignment horizontal="left" vertical="center" wrapText="1"/>
    </xf>
    <xf numFmtId="0" fontId="18" fillId="0" borderId="26" xfId="11" applyFont="1" applyBorder="1" applyAlignment="1">
      <alignment horizontal="left" vertical="center" wrapText="1"/>
    </xf>
    <xf numFmtId="0" fontId="25" fillId="0" borderId="9" xfId="9" applyFont="1" applyBorder="1" applyAlignment="1">
      <alignment horizontal="left" vertical="center"/>
    </xf>
    <xf numFmtId="0" fontId="22" fillId="0" borderId="49" xfId="11" applyFont="1" applyBorder="1" applyAlignment="1">
      <alignment horizontal="center" vertical="center"/>
    </xf>
    <xf numFmtId="0" fontId="19" fillId="4" borderId="46" xfId="11" applyFont="1" applyFill="1" applyBorder="1" applyAlignment="1">
      <alignment horizontal="left" vertical="center"/>
    </xf>
    <xf numFmtId="0" fontId="22" fillId="0" borderId="46" xfId="11" applyFont="1" applyBorder="1" applyAlignment="1">
      <alignment horizontal="center" vertical="center"/>
    </xf>
    <xf numFmtId="0" fontId="18" fillId="0" borderId="46" xfId="11" applyFont="1" applyBorder="1" applyAlignment="1">
      <alignment horizontal="center" vertical="center"/>
    </xf>
    <xf numFmtId="0" fontId="22" fillId="0" borderId="47" xfId="11" applyFont="1" applyBorder="1" applyAlignment="1">
      <alignment horizontal="center" vertical="center"/>
    </xf>
    <xf numFmtId="1" fontId="22" fillId="0" borderId="49" xfId="11" applyNumberFormat="1" applyFont="1" applyBorder="1" applyAlignment="1">
      <alignment horizontal="center" vertical="center"/>
    </xf>
    <xf numFmtId="1" fontId="18" fillId="0" borderId="52" xfId="11" applyNumberFormat="1" applyFont="1" applyBorder="1" applyAlignment="1">
      <alignment horizontal="center" vertical="center"/>
    </xf>
    <xf numFmtId="164" fontId="23" fillId="4" borderId="33" xfId="11" applyNumberFormat="1" applyFont="1" applyFill="1" applyBorder="1" applyAlignment="1">
      <alignment horizontal="center" vertical="center"/>
    </xf>
    <xf numFmtId="164" fontId="18" fillId="0" borderId="33" xfId="11" applyNumberFormat="1" applyFont="1" applyBorder="1" applyAlignment="1">
      <alignment horizontal="center" vertical="center"/>
    </xf>
    <xf numFmtId="164" fontId="18" fillId="0" borderId="53" xfId="11" applyNumberFormat="1" applyFont="1" applyBorder="1" applyAlignment="1">
      <alignment horizontal="center" vertical="center"/>
    </xf>
    <xf numFmtId="10" fontId="22" fillId="0" borderId="49" xfId="1" applyNumberFormat="1" applyFont="1" applyBorder="1" applyAlignment="1">
      <alignment horizontal="center" vertical="center"/>
    </xf>
    <xf numFmtId="10" fontId="19" fillId="4" borderId="46" xfId="1" applyNumberFormat="1" applyFont="1" applyFill="1" applyBorder="1" applyAlignment="1">
      <alignment horizontal="left" vertical="center"/>
    </xf>
    <xf numFmtId="10" fontId="22" fillId="0" borderId="46" xfId="1" applyNumberFormat="1" applyFont="1" applyBorder="1" applyAlignment="1">
      <alignment horizontal="center" vertical="center"/>
    </xf>
    <xf numFmtId="10" fontId="18" fillId="0" borderId="46" xfId="1" applyNumberFormat="1" applyFont="1" applyBorder="1" applyAlignment="1">
      <alignment horizontal="center" vertical="center"/>
    </xf>
    <xf numFmtId="10" fontId="22" fillId="0" borderId="47" xfId="1" applyNumberFormat="1" applyFont="1" applyBorder="1" applyAlignment="1">
      <alignment horizontal="center" vertical="center"/>
    </xf>
    <xf numFmtId="164" fontId="22" fillId="0" borderId="35" xfId="11" applyNumberFormat="1" applyFont="1" applyBorder="1" applyAlignment="1">
      <alignment horizontal="center" vertical="center"/>
    </xf>
    <xf numFmtId="0" fontId="26" fillId="0" borderId="0" xfId="3" applyFont="1" applyAlignment="1">
      <alignment vertical="center"/>
    </xf>
    <xf numFmtId="0" fontId="30" fillId="0" borderId="0" xfId="3" applyFont="1" applyAlignment="1">
      <alignment vertical="center"/>
    </xf>
    <xf numFmtId="0" fontId="29" fillId="0" borderId="0" xfId="0" applyFont="1" applyAlignment="1">
      <alignment horizontal="left" vertical="center" wrapText="1"/>
    </xf>
    <xf numFmtId="0" fontId="26" fillId="18" borderId="0" xfId="3" applyFont="1" applyFill="1" applyAlignment="1">
      <alignment vertical="center"/>
    </xf>
    <xf numFmtId="0" fontId="27" fillId="18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3" fillId="0" borderId="16" xfId="3" applyBorder="1" applyAlignment="1">
      <alignment horizontal="center" vertical="center"/>
    </xf>
    <xf numFmtId="0" fontId="3" fillId="0" borderId="14" xfId="3" applyBorder="1" applyAlignment="1">
      <alignment horizontal="center" vertical="center"/>
    </xf>
    <xf numFmtId="0" fontId="3" fillId="0" borderId="20" xfId="3" applyBorder="1" applyAlignment="1">
      <alignment horizontal="center" vertical="center"/>
    </xf>
    <xf numFmtId="0" fontId="28" fillId="3" borderId="18" xfId="3" applyFont="1" applyFill="1" applyBorder="1" applyAlignment="1">
      <alignment horizontal="center" vertical="center"/>
    </xf>
    <xf numFmtId="0" fontId="28" fillId="3" borderId="59" xfId="3" applyFont="1" applyFill="1" applyBorder="1" applyAlignment="1">
      <alignment horizontal="center" vertical="center"/>
    </xf>
    <xf numFmtId="0" fontId="28" fillId="3" borderId="29" xfId="3" applyFont="1" applyFill="1" applyBorder="1" applyAlignment="1">
      <alignment horizontal="center" vertical="center"/>
    </xf>
    <xf numFmtId="0" fontId="4" fillId="4" borderId="58" xfId="3" applyFont="1" applyFill="1" applyBorder="1" applyAlignment="1">
      <alignment horizontal="center" vertical="center"/>
    </xf>
    <xf numFmtId="0" fontId="4" fillId="4" borderId="42" xfId="3" applyFont="1" applyFill="1" applyBorder="1" applyAlignment="1">
      <alignment horizontal="center" vertical="center"/>
    </xf>
    <xf numFmtId="0" fontId="4" fillId="4" borderId="53" xfId="3" applyFont="1" applyFill="1" applyBorder="1" applyAlignment="1">
      <alignment horizontal="center" vertical="center"/>
    </xf>
    <xf numFmtId="0" fontId="3" fillId="0" borderId="38" xfId="3" applyBorder="1" applyAlignment="1">
      <alignment horizontal="center" vertical="center"/>
    </xf>
    <xf numFmtId="0" fontId="3" fillId="0" borderId="54" xfId="3" applyBorder="1" applyAlignment="1">
      <alignment horizontal="center" vertical="center"/>
    </xf>
    <xf numFmtId="0" fontId="3" fillId="0" borderId="22" xfId="3" applyBorder="1" applyAlignment="1">
      <alignment horizontal="center" vertical="center"/>
    </xf>
    <xf numFmtId="0" fontId="3" fillId="0" borderId="23" xfId="3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3" fillId="0" borderId="39" xfId="3" applyBorder="1" applyAlignment="1">
      <alignment horizontal="center" vertical="center"/>
    </xf>
    <xf numFmtId="0" fontId="3" fillId="0" borderId="40" xfId="3" applyBorder="1" applyAlignment="1">
      <alignment horizontal="center" vertical="center"/>
    </xf>
    <xf numFmtId="0" fontId="3" fillId="0" borderId="57" xfId="3" applyBorder="1" applyAlignment="1">
      <alignment horizontal="center" vertical="center"/>
    </xf>
    <xf numFmtId="0" fontId="3" fillId="0" borderId="24" xfId="3" applyBorder="1" applyAlignment="1">
      <alignment horizontal="center" vertical="center"/>
    </xf>
    <xf numFmtId="0" fontId="32" fillId="0" borderId="34" xfId="3" applyFont="1" applyBorder="1" applyAlignment="1">
      <alignment vertical="center"/>
    </xf>
    <xf numFmtId="0" fontId="32" fillId="0" borderId="3" xfId="3" applyFont="1" applyBorder="1" applyAlignment="1">
      <alignment vertical="center"/>
    </xf>
    <xf numFmtId="0" fontId="32" fillId="0" borderId="33" xfId="3" applyFont="1" applyBorder="1" applyAlignment="1">
      <alignment vertical="center"/>
    </xf>
    <xf numFmtId="0" fontId="33" fillId="0" borderId="55" xfId="3" applyFont="1" applyBorder="1" applyAlignment="1">
      <alignment vertical="center"/>
    </xf>
    <xf numFmtId="0" fontId="33" fillId="0" borderId="56" xfId="3" applyFont="1" applyBorder="1" applyAlignment="1">
      <alignment vertical="center"/>
    </xf>
    <xf numFmtId="0" fontId="33" fillId="0" borderId="52" xfId="3" applyFont="1" applyBorder="1" applyAlignment="1">
      <alignment vertical="center"/>
    </xf>
    <xf numFmtId="0" fontId="6" fillId="4" borderId="27" xfId="3" applyFont="1" applyFill="1" applyBorder="1" applyAlignment="1">
      <alignment horizontal="center" vertical="center"/>
    </xf>
    <xf numFmtId="0" fontId="6" fillId="4" borderId="7" xfId="3" applyFont="1" applyFill="1" applyBorder="1" applyAlignment="1">
      <alignment horizontal="center" vertical="center"/>
    </xf>
    <xf numFmtId="0" fontId="6" fillId="4" borderId="13" xfId="3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4" fillId="0" borderId="25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31" fillId="0" borderId="6" xfId="3" applyFont="1" applyBorder="1" applyAlignment="1">
      <alignment horizontal="center" vertical="center"/>
    </xf>
    <xf numFmtId="0" fontId="31" fillId="0" borderId="18" xfId="3" applyFont="1" applyBorder="1" applyAlignment="1">
      <alignment horizontal="center" vertical="center"/>
    </xf>
    <xf numFmtId="0" fontId="31" fillId="0" borderId="1" xfId="3" applyFont="1" applyBorder="1" applyAlignment="1">
      <alignment horizontal="center" vertical="center"/>
    </xf>
    <xf numFmtId="0" fontId="31" fillId="0" borderId="2" xfId="3" applyFont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28" xfId="3" applyFont="1" applyFill="1" applyBorder="1" applyAlignment="1">
      <alignment horizontal="center" vertical="center"/>
    </xf>
    <xf numFmtId="0" fontId="11" fillId="3" borderId="25" xfId="3" applyFont="1" applyFill="1" applyBorder="1" applyAlignment="1">
      <alignment horizontal="left" vertical="center"/>
    </xf>
    <xf numFmtId="0" fontId="11" fillId="3" borderId="6" xfId="3" applyFont="1" applyFill="1" applyBorder="1" applyAlignment="1">
      <alignment horizontal="left" vertical="center"/>
    </xf>
    <xf numFmtId="0" fontId="3" fillId="3" borderId="6" xfId="3" applyFill="1" applyBorder="1" applyAlignment="1">
      <alignment horizontal="left" vertical="center"/>
    </xf>
    <xf numFmtId="0" fontId="3" fillId="3" borderId="1" xfId="3" applyFill="1" applyBorder="1" applyAlignment="1">
      <alignment horizontal="left" vertical="center"/>
    </xf>
    <xf numFmtId="0" fontId="3" fillId="3" borderId="2" xfId="3" applyFill="1" applyBorder="1" applyAlignment="1">
      <alignment horizontal="center" vertical="center"/>
    </xf>
    <xf numFmtId="0" fontId="3" fillId="3" borderId="3" xfId="3" applyFill="1" applyBorder="1" applyAlignment="1">
      <alignment horizontal="center" vertical="center"/>
    </xf>
    <xf numFmtId="0" fontId="3" fillId="3" borderId="33" xfId="3" applyFill="1" applyBorder="1" applyAlignment="1">
      <alignment horizontal="center" vertical="center"/>
    </xf>
    <xf numFmtId="0" fontId="3" fillId="3" borderId="18" xfId="3" applyFill="1" applyBorder="1" applyAlignment="1">
      <alignment horizontal="center" vertical="center"/>
    </xf>
    <xf numFmtId="0" fontId="3" fillId="3" borderId="29" xfId="3" applyFill="1" applyBorder="1" applyAlignment="1">
      <alignment horizontal="center" vertical="center"/>
    </xf>
    <xf numFmtId="172" fontId="20" fillId="0" borderId="37" xfId="9" applyNumberFormat="1" applyFont="1" applyBorder="1" applyAlignment="1">
      <alignment horizontal="center" vertical="center" textRotation="180"/>
    </xf>
    <xf numFmtId="172" fontId="20" fillId="0" borderId="36" xfId="9" applyNumberFormat="1" applyFont="1" applyBorder="1" applyAlignment="1">
      <alignment horizontal="center" vertical="center" textRotation="180"/>
    </xf>
    <xf numFmtId="172" fontId="20" fillId="0" borderId="48" xfId="9" applyNumberFormat="1" applyFont="1" applyBorder="1" applyAlignment="1">
      <alignment horizontal="center" vertical="center" textRotation="180"/>
    </xf>
    <xf numFmtId="172" fontId="20" fillId="0" borderId="30" xfId="9" applyNumberFormat="1" applyFont="1" applyBorder="1" applyAlignment="1">
      <alignment horizontal="center" vertical="center" textRotation="180"/>
    </xf>
    <xf numFmtId="172" fontId="20" fillId="0" borderId="51" xfId="9" applyNumberFormat="1" applyFont="1" applyBorder="1" applyAlignment="1">
      <alignment horizontal="center" vertical="center" textRotation="180"/>
    </xf>
    <xf numFmtId="172" fontId="20" fillId="0" borderId="31" xfId="9" applyNumberFormat="1" applyFont="1" applyBorder="1" applyAlignment="1">
      <alignment horizontal="center" vertical="center" textRotation="180"/>
    </xf>
    <xf numFmtId="171" fontId="20" fillId="0" borderId="30" xfId="9" applyNumberFormat="1" applyFont="1" applyBorder="1" applyAlignment="1">
      <alignment horizontal="center" vertical="center" wrapText="1"/>
    </xf>
    <xf numFmtId="171" fontId="20" fillId="0" borderId="51" xfId="9" applyNumberFormat="1" applyFont="1" applyBorder="1" applyAlignment="1">
      <alignment horizontal="center" vertical="center" wrapText="1"/>
    </xf>
    <xf numFmtId="171" fontId="20" fillId="0" borderId="31" xfId="9" applyNumberFormat="1" applyFont="1" applyBorder="1" applyAlignment="1">
      <alignment horizontal="center" vertical="center" wrapText="1"/>
    </xf>
    <xf numFmtId="10" fontId="20" fillId="0" borderId="30" xfId="1" applyNumberFormat="1" applyFont="1" applyFill="1" applyBorder="1" applyAlignment="1">
      <alignment horizontal="center" vertical="center" wrapText="1"/>
    </xf>
    <xf numFmtId="10" fontId="20" fillId="0" borderId="51" xfId="1" applyNumberFormat="1" applyFont="1" applyFill="1" applyBorder="1" applyAlignment="1">
      <alignment horizontal="center" vertical="center" wrapText="1"/>
    </xf>
    <xf numFmtId="10" fontId="20" fillId="0" borderId="31" xfId="1" applyNumberFormat="1" applyFont="1" applyFill="1" applyBorder="1" applyAlignment="1">
      <alignment horizontal="center" vertical="center" wrapText="1"/>
    </xf>
    <xf numFmtId="172" fontId="20" fillId="0" borderId="38" xfId="9" applyNumberFormat="1" applyFont="1" applyBorder="1" applyAlignment="1">
      <alignment horizontal="center" vertical="center" textRotation="180"/>
    </xf>
    <xf numFmtId="172" fontId="20" fillId="0" borderId="23" xfId="9" applyNumberFormat="1" applyFont="1" applyBorder="1" applyAlignment="1">
      <alignment horizontal="center" vertical="center" textRotation="180"/>
    </xf>
    <xf numFmtId="172" fontId="20" fillId="0" borderId="40" xfId="9" applyNumberFormat="1" applyFont="1" applyBorder="1" applyAlignment="1">
      <alignment horizontal="center" vertical="center" textRotation="180"/>
    </xf>
    <xf numFmtId="171" fontId="20" fillId="0" borderId="22" xfId="9" applyNumberFormat="1" applyFont="1" applyBorder="1" applyAlignment="1">
      <alignment horizontal="center" vertical="center" wrapText="1"/>
    </xf>
    <xf numFmtId="171" fontId="20" fillId="0" borderId="39" xfId="9" applyNumberFormat="1" applyFont="1" applyBorder="1" applyAlignment="1">
      <alignment horizontal="center" vertical="center" wrapText="1"/>
    </xf>
    <xf numFmtId="171" fontId="20" fillId="0" borderId="24" xfId="9" applyNumberFormat="1" applyFont="1" applyBorder="1" applyAlignment="1">
      <alignment horizontal="center" vertical="center" wrapText="1"/>
    </xf>
    <xf numFmtId="172" fontId="20" fillId="0" borderId="22" xfId="9" applyNumberFormat="1" applyFont="1" applyBorder="1" applyAlignment="1">
      <alignment horizontal="center" vertical="center" textRotation="180"/>
    </xf>
    <xf numFmtId="172" fontId="20" fillId="0" borderId="39" xfId="9" applyNumberFormat="1" applyFont="1" applyBorder="1" applyAlignment="1">
      <alignment horizontal="center" vertical="center" textRotation="180"/>
    </xf>
    <xf numFmtId="172" fontId="20" fillId="0" borderId="24" xfId="9" applyNumberFormat="1" applyFont="1" applyBorder="1" applyAlignment="1">
      <alignment horizontal="center" vertical="center" textRotation="180"/>
    </xf>
    <xf numFmtId="0" fontId="20" fillId="0" borderId="30" xfId="9" applyFont="1" applyBorder="1" applyAlignment="1">
      <alignment horizontal="center" vertical="center"/>
    </xf>
    <xf numFmtId="0" fontId="20" fillId="0" borderId="51" xfId="9" applyFont="1" applyBorder="1" applyAlignment="1">
      <alignment horizontal="center" vertical="center"/>
    </xf>
    <xf numFmtId="0" fontId="20" fillId="0" borderId="31" xfId="9" applyFont="1" applyBorder="1" applyAlignment="1">
      <alignment horizontal="center" vertical="center"/>
    </xf>
  </cellXfs>
  <cellStyles count="13">
    <cellStyle name="Comma 3" xfId="12" xr:uid="{00000000-0005-0000-0000-000001000000}"/>
    <cellStyle name="Normal" xfId="0" builtinId="0"/>
    <cellStyle name="Normal 2" xfId="3" xr:uid="{00000000-0005-0000-0000-000004000000}"/>
    <cellStyle name="Normal 2 2" xfId="4" xr:uid="{00000000-0005-0000-0000-000005000000}"/>
    <cellStyle name="Normal 2 2 4" xfId="8" xr:uid="{00000000-0005-0000-0000-000006000000}"/>
    <cellStyle name="Normal 2 4" xfId="6" xr:uid="{00000000-0005-0000-0000-000007000000}"/>
    <cellStyle name="Normal 3 2 2" xfId="11" xr:uid="{00000000-0005-0000-0000-000008000000}"/>
    <cellStyle name="Normal 3 3" xfId="10" xr:uid="{00000000-0005-0000-0000-000009000000}"/>
    <cellStyle name="Normal 42" xfId="5" xr:uid="{00000000-0005-0000-0000-00000A000000}"/>
    <cellStyle name="Normal 43" xfId="7" xr:uid="{00000000-0005-0000-0000-00000B000000}"/>
    <cellStyle name="Normal_urduning" xfId="9" xr:uid="{00000000-0005-0000-0000-00000E000000}"/>
    <cellStyle name="Percent" xfId="1" xr:uid="{00000000-0005-0000-0000-00000F000000}"/>
    <cellStyle name="Stil 1" xfId="2" xr:uid="{00000000-0005-0000-0000-000010000000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217715</xdr:colOff>
      <xdr:row>1</xdr:row>
      <xdr:rowOff>68036</xdr:rowOff>
    </xdr:from>
    <xdr:to>
      <xdr:col>2</xdr:col>
      <xdr:colOff>2354036</xdr:colOff>
      <xdr:row>3</xdr:row>
      <xdr:rowOff>251845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974168-527E-2E49-FA63-A344FEFD7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8" y="190500"/>
          <a:ext cx="2530928" cy="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1:BB120"/>
  <sheetViews>
    <sheetView tabSelected="1" zoomScale="70" zoomScaleNormal="70" zoomScaleSheetLayoutView="70" workbookViewId="0">
      <selection activeCell="P3" sqref="P3:Q3"/>
    </sheetView>
  </sheetViews>
  <sheetFormatPr baseColWidth="10" defaultColWidth="8.83203125" defaultRowHeight="13" x14ac:dyDescent="0.2"/>
  <cols>
    <col min="1" max="1" width="6.83203125" style="1" customWidth="1"/>
    <col min="2" max="2" width="5.83203125" style="1" customWidth="1"/>
    <col min="3" max="3" width="35.83203125" style="1" customWidth="1"/>
    <col min="4" max="4" width="8.5" style="1" customWidth="1"/>
    <col min="5" max="6" width="8.83203125" style="1" customWidth="1"/>
    <col min="7" max="7" width="3.83203125" style="1" customWidth="1"/>
    <col min="8" max="8" width="35.83203125" style="1" customWidth="1"/>
    <col min="9" max="9" width="10.6640625" style="1" customWidth="1"/>
    <col min="10" max="11" width="8.83203125" style="1" customWidth="1"/>
    <col min="12" max="12" width="16.5" style="1" customWidth="1"/>
    <col min="13" max="13" width="7.5" style="1" customWidth="1"/>
    <col min="14" max="14" width="25.83203125" style="1" customWidth="1"/>
    <col min="15" max="17" width="8.83203125" style="1" customWidth="1"/>
    <col min="18" max="18" width="57.6640625" style="1" customWidth="1"/>
    <col min="19" max="19" width="8.83203125" style="1"/>
    <col min="20" max="20" width="8.83203125" style="1" customWidth="1"/>
    <col min="21" max="16384" width="8.83203125" style="1"/>
  </cols>
  <sheetData>
    <row r="1" spans="2:54" ht="10" customHeight="1" thickBot="1" x14ac:dyDescent="0.25"/>
    <row r="2" spans="2:54" ht="25" customHeight="1" x14ac:dyDescent="0.2">
      <c r="B2" s="154"/>
      <c r="C2" s="155"/>
      <c r="D2" s="158" t="s">
        <v>382</v>
      </c>
      <c r="E2" s="158"/>
      <c r="F2" s="158"/>
      <c r="G2" s="158"/>
      <c r="H2" s="158"/>
      <c r="I2" s="158"/>
      <c r="J2" s="158"/>
      <c r="K2" s="158"/>
      <c r="L2" s="158"/>
      <c r="M2" s="159"/>
      <c r="N2" s="167" t="s">
        <v>0</v>
      </c>
      <c r="O2" s="167"/>
      <c r="P2" s="172" t="s">
        <v>404</v>
      </c>
      <c r="Q2" s="173"/>
    </row>
    <row r="3" spans="2:54" ht="25" customHeight="1" x14ac:dyDescent="0.2">
      <c r="B3" s="156"/>
      <c r="C3" s="157"/>
      <c r="D3" s="160"/>
      <c r="E3" s="160"/>
      <c r="F3" s="160"/>
      <c r="G3" s="160"/>
      <c r="H3" s="160"/>
      <c r="I3" s="160"/>
      <c r="J3" s="160"/>
      <c r="K3" s="160"/>
      <c r="L3" s="160"/>
      <c r="M3" s="161"/>
      <c r="N3" s="168" t="s">
        <v>1</v>
      </c>
      <c r="O3" s="168"/>
      <c r="P3" s="169" t="s">
        <v>405</v>
      </c>
      <c r="Q3" s="171"/>
    </row>
    <row r="4" spans="2:54" ht="25" customHeight="1" x14ac:dyDescent="0.2">
      <c r="B4" s="156"/>
      <c r="C4" s="157"/>
      <c r="D4" s="160"/>
      <c r="E4" s="160"/>
      <c r="F4" s="160"/>
      <c r="G4" s="160"/>
      <c r="H4" s="160"/>
      <c r="I4" s="160"/>
      <c r="J4" s="160"/>
      <c r="K4" s="160"/>
      <c r="L4" s="160"/>
      <c r="M4" s="161"/>
      <c r="N4" s="169"/>
      <c r="O4" s="170"/>
      <c r="P4" s="170"/>
      <c r="Q4" s="171"/>
    </row>
    <row r="5" spans="2:54" ht="30" customHeight="1" x14ac:dyDescent="0.2">
      <c r="B5" s="162" t="s">
        <v>2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4"/>
    </row>
    <row r="6" spans="2:54" ht="25" customHeight="1" thickBot="1" x14ac:dyDescent="0.25"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2:54" ht="27" customHeight="1" x14ac:dyDescent="0.2">
      <c r="B7" s="165" t="s">
        <v>4</v>
      </c>
      <c r="C7" s="166"/>
      <c r="D7" s="129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1"/>
    </row>
    <row r="8" spans="2:54" s="120" customFormat="1" ht="15.75" customHeight="1" x14ac:dyDescent="0.2">
      <c r="B8" s="144" t="s">
        <v>392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6"/>
    </row>
    <row r="9" spans="2:54" s="121" customFormat="1" ht="16" x14ac:dyDescent="0.2">
      <c r="B9" s="144" t="s">
        <v>393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6"/>
    </row>
    <row r="10" spans="2:54" s="123" customFormat="1" ht="16" x14ac:dyDescent="0.2">
      <c r="B10" s="144" t="s">
        <v>394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6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2:54" s="123" customFormat="1" ht="16" x14ac:dyDescent="0.2">
      <c r="B11" s="144" t="s">
        <v>395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6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</row>
    <row r="12" spans="2:54" s="123" customFormat="1" ht="16" x14ac:dyDescent="0.2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6"/>
    </row>
    <row r="13" spans="2:54" s="120" customFormat="1" ht="16" x14ac:dyDescent="0.2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6"/>
    </row>
    <row r="14" spans="2:54" s="120" customFormat="1" ht="16" x14ac:dyDescent="0.2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6"/>
    </row>
    <row r="15" spans="2:54" s="120" customFormat="1" ht="16" x14ac:dyDescent="0.2">
      <c r="B15" s="144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6"/>
    </row>
    <row r="16" spans="2:54" s="121" customFormat="1" ht="16" x14ac:dyDescent="0.2">
      <c r="B16" s="144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6"/>
    </row>
    <row r="17" spans="2:54" s="121" customFormat="1" ht="16" x14ac:dyDescent="0.2">
      <c r="B17" s="144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/>
    </row>
    <row r="18" spans="2:54" s="121" customFormat="1" ht="16" x14ac:dyDescent="0.2">
      <c r="B18" s="144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6"/>
    </row>
    <row r="19" spans="2:54" s="121" customFormat="1" ht="16" x14ac:dyDescent="0.2">
      <c r="B19" s="144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6"/>
    </row>
    <row r="20" spans="2:54" s="121" customFormat="1" ht="16" x14ac:dyDescent="0.2"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</row>
    <row r="21" spans="2:54" s="121" customFormat="1" ht="16" x14ac:dyDescent="0.2">
      <c r="B21" s="144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6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</row>
    <row r="22" spans="2:54" s="121" customFormat="1" ht="16" x14ac:dyDescent="0.2">
      <c r="B22" s="144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6"/>
    </row>
    <row r="23" spans="2:54" s="120" customFormat="1" ht="16" x14ac:dyDescent="0.2">
      <c r="B23" s="144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</row>
    <row r="24" spans="2:54" s="121" customFormat="1" ht="16" x14ac:dyDescent="0.2">
      <c r="B24" s="144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6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</row>
    <row r="25" spans="2:54" s="120" customFormat="1" ht="16" x14ac:dyDescent="0.2">
      <c r="B25" s="144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6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</row>
    <row r="26" spans="2:54" s="121" customFormat="1" ht="16" x14ac:dyDescent="0.2">
      <c r="B26" s="144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6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</row>
    <row r="27" spans="2:54" ht="20" customHeight="1" x14ac:dyDescent="0.2">
      <c r="B27" s="147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9"/>
    </row>
    <row r="28" spans="2:54" ht="30" customHeight="1" thickBot="1" x14ac:dyDescent="0.25">
      <c r="B28" s="150" t="s">
        <v>391</v>
      </c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2"/>
    </row>
    <row r="29" spans="2:54" ht="14.5" customHeight="1" x14ac:dyDescent="0.2">
      <c r="B29" s="135" t="s">
        <v>396</v>
      </c>
      <c r="C29" s="136"/>
      <c r="D29" s="136"/>
      <c r="E29" s="136"/>
      <c r="F29" s="136"/>
      <c r="G29" s="136"/>
      <c r="H29" s="137"/>
      <c r="I29" s="135" t="s">
        <v>397</v>
      </c>
      <c r="J29" s="136"/>
      <c r="K29" s="136"/>
      <c r="L29" s="136"/>
      <c r="M29" s="136"/>
      <c r="N29" s="136"/>
      <c r="O29" s="136"/>
      <c r="P29" s="136"/>
      <c r="Q29" s="137"/>
    </row>
    <row r="30" spans="2:54" ht="12.75" customHeight="1" x14ac:dyDescent="0.2">
      <c r="B30" s="138"/>
      <c r="C30" s="139"/>
      <c r="D30" s="139"/>
      <c r="E30" s="139"/>
      <c r="F30" s="139"/>
      <c r="G30" s="139"/>
      <c r="H30" s="140"/>
      <c r="I30" s="138"/>
      <c r="J30" s="139"/>
      <c r="K30" s="139"/>
      <c r="L30" s="139"/>
      <c r="M30" s="139"/>
      <c r="N30" s="139"/>
      <c r="O30" s="139"/>
      <c r="P30" s="139"/>
      <c r="Q30" s="140"/>
    </row>
    <row r="31" spans="2:54" ht="12.75" customHeight="1" x14ac:dyDescent="0.2">
      <c r="B31" s="138"/>
      <c r="C31" s="139"/>
      <c r="D31" s="139"/>
      <c r="E31" s="139"/>
      <c r="F31" s="139"/>
      <c r="G31" s="139"/>
      <c r="H31" s="140"/>
      <c r="I31" s="138"/>
      <c r="J31" s="139"/>
      <c r="K31" s="139"/>
      <c r="L31" s="139"/>
      <c r="M31" s="139"/>
      <c r="N31" s="139"/>
      <c r="O31" s="139"/>
      <c r="P31" s="139"/>
      <c r="Q31" s="140"/>
    </row>
    <row r="32" spans="2:54" ht="12.75" customHeight="1" x14ac:dyDescent="0.2">
      <c r="B32" s="138"/>
      <c r="C32" s="139"/>
      <c r="D32" s="139"/>
      <c r="E32" s="139"/>
      <c r="F32" s="139"/>
      <c r="G32" s="139"/>
      <c r="H32" s="140"/>
      <c r="I32" s="138"/>
      <c r="J32" s="139"/>
      <c r="K32" s="139"/>
      <c r="L32" s="139"/>
      <c r="M32" s="139"/>
      <c r="N32" s="139"/>
      <c r="O32" s="139"/>
      <c r="P32" s="139"/>
      <c r="Q32" s="140"/>
    </row>
    <row r="33" spans="2:17" ht="12.75" customHeight="1" x14ac:dyDescent="0.2">
      <c r="B33" s="138"/>
      <c r="C33" s="139"/>
      <c r="D33" s="139"/>
      <c r="E33" s="139"/>
      <c r="F33" s="139"/>
      <c r="G33" s="139"/>
      <c r="H33" s="140"/>
      <c r="I33" s="138"/>
      <c r="J33" s="139"/>
      <c r="K33" s="139"/>
      <c r="L33" s="139"/>
      <c r="M33" s="139"/>
      <c r="N33" s="139"/>
      <c r="O33" s="139"/>
      <c r="P33" s="139"/>
      <c r="Q33" s="140"/>
    </row>
    <row r="34" spans="2:17" ht="12.75" customHeight="1" x14ac:dyDescent="0.2">
      <c r="B34" s="138"/>
      <c r="C34" s="139"/>
      <c r="D34" s="139"/>
      <c r="E34" s="139"/>
      <c r="F34" s="139"/>
      <c r="G34" s="139"/>
      <c r="H34" s="140"/>
      <c r="I34" s="138"/>
      <c r="J34" s="139"/>
      <c r="K34" s="139"/>
      <c r="L34" s="139"/>
      <c r="M34" s="139"/>
      <c r="N34" s="139"/>
      <c r="O34" s="139"/>
      <c r="P34" s="139"/>
      <c r="Q34" s="140"/>
    </row>
    <row r="35" spans="2:17" ht="12.75" customHeight="1" x14ac:dyDescent="0.2">
      <c r="B35" s="138"/>
      <c r="C35" s="139"/>
      <c r="D35" s="139"/>
      <c r="E35" s="139"/>
      <c r="F35" s="139"/>
      <c r="G35" s="139"/>
      <c r="H35" s="140"/>
      <c r="I35" s="138"/>
      <c r="J35" s="139"/>
      <c r="K35" s="139"/>
      <c r="L35" s="139"/>
      <c r="M35" s="139"/>
      <c r="N35" s="139"/>
      <c r="O35" s="139"/>
      <c r="P35" s="139"/>
      <c r="Q35" s="140"/>
    </row>
    <row r="36" spans="2:17" ht="12.75" customHeight="1" x14ac:dyDescent="0.2">
      <c r="B36" s="138"/>
      <c r="C36" s="139"/>
      <c r="D36" s="139"/>
      <c r="E36" s="139"/>
      <c r="F36" s="139"/>
      <c r="G36" s="139"/>
      <c r="H36" s="140"/>
      <c r="I36" s="138"/>
      <c r="J36" s="139"/>
      <c r="K36" s="139"/>
      <c r="L36" s="139"/>
      <c r="M36" s="139"/>
      <c r="N36" s="139"/>
      <c r="O36" s="139"/>
      <c r="P36" s="139"/>
      <c r="Q36" s="140"/>
    </row>
    <row r="37" spans="2:17" ht="12.75" customHeight="1" x14ac:dyDescent="0.2">
      <c r="B37" s="138"/>
      <c r="C37" s="139"/>
      <c r="D37" s="139"/>
      <c r="E37" s="139"/>
      <c r="F37" s="139"/>
      <c r="G37" s="139"/>
      <c r="H37" s="140"/>
      <c r="I37" s="138"/>
      <c r="J37" s="139"/>
      <c r="K37" s="139"/>
      <c r="L37" s="139"/>
      <c r="M37" s="139"/>
      <c r="N37" s="139"/>
      <c r="O37" s="139"/>
      <c r="P37" s="139"/>
      <c r="Q37" s="140"/>
    </row>
    <row r="38" spans="2:17" ht="12.75" customHeight="1" x14ac:dyDescent="0.2">
      <c r="B38" s="138"/>
      <c r="C38" s="139"/>
      <c r="D38" s="139"/>
      <c r="E38" s="139"/>
      <c r="F38" s="139"/>
      <c r="G38" s="139"/>
      <c r="H38" s="140"/>
      <c r="I38" s="138"/>
      <c r="J38" s="139"/>
      <c r="K38" s="139"/>
      <c r="L38" s="139"/>
      <c r="M38" s="139"/>
      <c r="N38" s="139"/>
      <c r="O38" s="139"/>
      <c r="P38" s="139"/>
      <c r="Q38" s="140"/>
    </row>
    <row r="39" spans="2:17" ht="12.75" customHeight="1" x14ac:dyDescent="0.2">
      <c r="B39" s="138"/>
      <c r="C39" s="139"/>
      <c r="D39" s="139"/>
      <c r="E39" s="139"/>
      <c r="F39" s="139"/>
      <c r="G39" s="139"/>
      <c r="H39" s="140"/>
      <c r="I39" s="138"/>
      <c r="J39" s="139"/>
      <c r="K39" s="139"/>
      <c r="L39" s="139"/>
      <c r="M39" s="139"/>
      <c r="N39" s="139"/>
      <c r="O39" s="139"/>
      <c r="P39" s="139"/>
      <c r="Q39" s="140"/>
    </row>
    <row r="40" spans="2:17" ht="12.75" customHeight="1" x14ac:dyDescent="0.2">
      <c r="B40" s="138"/>
      <c r="C40" s="139"/>
      <c r="D40" s="139"/>
      <c r="E40" s="139"/>
      <c r="F40" s="139"/>
      <c r="G40" s="139"/>
      <c r="H40" s="140"/>
      <c r="I40" s="138"/>
      <c r="J40" s="139"/>
      <c r="K40" s="139"/>
      <c r="L40" s="139"/>
      <c r="M40" s="139"/>
      <c r="N40" s="139"/>
      <c r="O40" s="139"/>
      <c r="P40" s="139"/>
      <c r="Q40" s="140"/>
    </row>
    <row r="41" spans="2:17" ht="12.75" customHeight="1" x14ac:dyDescent="0.2">
      <c r="B41" s="138"/>
      <c r="C41" s="139"/>
      <c r="D41" s="139"/>
      <c r="E41" s="139"/>
      <c r="F41" s="139"/>
      <c r="G41" s="139"/>
      <c r="H41" s="140"/>
      <c r="I41" s="138"/>
      <c r="J41" s="139"/>
      <c r="K41" s="139"/>
      <c r="L41" s="139"/>
      <c r="M41" s="139"/>
      <c r="N41" s="139"/>
      <c r="O41" s="139"/>
      <c r="P41" s="139"/>
      <c r="Q41" s="140"/>
    </row>
    <row r="42" spans="2:17" ht="12.75" customHeight="1" x14ac:dyDescent="0.2">
      <c r="B42" s="138"/>
      <c r="C42" s="139"/>
      <c r="D42" s="139"/>
      <c r="E42" s="139"/>
      <c r="F42" s="139"/>
      <c r="G42" s="139"/>
      <c r="H42" s="140"/>
      <c r="I42" s="138"/>
      <c r="J42" s="139"/>
      <c r="K42" s="139"/>
      <c r="L42" s="139"/>
      <c r="M42" s="139"/>
      <c r="N42" s="139"/>
      <c r="O42" s="139"/>
      <c r="P42" s="139"/>
      <c r="Q42" s="140"/>
    </row>
    <row r="43" spans="2:17" ht="12.75" customHeight="1" x14ac:dyDescent="0.2">
      <c r="B43" s="138"/>
      <c r="C43" s="139"/>
      <c r="D43" s="139"/>
      <c r="E43" s="139"/>
      <c r="F43" s="139"/>
      <c r="G43" s="139"/>
      <c r="H43" s="140"/>
      <c r="I43" s="138"/>
      <c r="J43" s="139"/>
      <c r="K43" s="139"/>
      <c r="L43" s="139"/>
      <c r="M43" s="139"/>
      <c r="N43" s="139"/>
      <c r="O43" s="139"/>
      <c r="P43" s="139"/>
      <c r="Q43" s="140"/>
    </row>
    <row r="44" spans="2:17" ht="12.75" customHeight="1" x14ac:dyDescent="0.2">
      <c r="B44" s="138"/>
      <c r="C44" s="139"/>
      <c r="D44" s="139"/>
      <c r="E44" s="139"/>
      <c r="F44" s="139"/>
      <c r="G44" s="139"/>
      <c r="H44" s="140"/>
      <c r="I44" s="138"/>
      <c r="J44" s="139"/>
      <c r="K44" s="139"/>
      <c r="L44" s="139"/>
      <c r="M44" s="139"/>
      <c r="N44" s="139"/>
      <c r="O44" s="139"/>
      <c r="P44" s="139"/>
      <c r="Q44" s="140"/>
    </row>
    <row r="45" spans="2:17" ht="12.75" customHeight="1" x14ac:dyDescent="0.2">
      <c r="B45" s="138"/>
      <c r="C45" s="139"/>
      <c r="D45" s="139"/>
      <c r="E45" s="139"/>
      <c r="F45" s="139"/>
      <c r="G45" s="139"/>
      <c r="H45" s="140"/>
      <c r="I45" s="138"/>
      <c r="J45" s="139"/>
      <c r="K45" s="139"/>
      <c r="L45" s="139"/>
      <c r="M45" s="139"/>
      <c r="N45" s="139"/>
      <c r="O45" s="139"/>
      <c r="P45" s="139"/>
      <c r="Q45" s="140"/>
    </row>
    <row r="46" spans="2:17" ht="12.75" customHeight="1" x14ac:dyDescent="0.2">
      <c r="B46" s="138"/>
      <c r="C46" s="139"/>
      <c r="D46" s="139"/>
      <c r="E46" s="139"/>
      <c r="F46" s="139"/>
      <c r="G46" s="139"/>
      <c r="H46" s="140"/>
      <c r="I46" s="138"/>
      <c r="J46" s="139"/>
      <c r="K46" s="139"/>
      <c r="L46" s="139"/>
      <c r="M46" s="139"/>
      <c r="N46" s="139"/>
      <c r="O46" s="139"/>
      <c r="P46" s="139"/>
      <c r="Q46" s="140"/>
    </row>
    <row r="47" spans="2:17" ht="12.75" customHeight="1" x14ac:dyDescent="0.2">
      <c r="B47" s="138"/>
      <c r="C47" s="139"/>
      <c r="D47" s="139"/>
      <c r="E47" s="139"/>
      <c r="F47" s="139"/>
      <c r="G47" s="139"/>
      <c r="H47" s="140"/>
      <c r="I47" s="138"/>
      <c r="J47" s="139"/>
      <c r="K47" s="139"/>
      <c r="L47" s="139"/>
      <c r="M47" s="139"/>
      <c r="N47" s="139"/>
      <c r="O47" s="139"/>
      <c r="P47" s="139"/>
      <c r="Q47" s="140"/>
    </row>
    <row r="48" spans="2:17" ht="15" customHeight="1" x14ac:dyDescent="0.2">
      <c r="B48" s="138"/>
      <c r="C48" s="139"/>
      <c r="D48" s="139"/>
      <c r="E48" s="139"/>
      <c r="F48" s="139"/>
      <c r="G48" s="139"/>
      <c r="H48" s="140"/>
      <c r="I48" s="138"/>
      <c r="J48" s="139"/>
      <c r="K48" s="139"/>
      <c r="L48" s="139"/>
      <c r="M48" s="139"/>
      <c r="N48" s="139"/>
      <c r="O48" s="139"/>
      <c r="P48" s="139"/>
      <c r="Q48" s="140"/>
    </row>
    <row r="49" spans="2:17" ht="12.75" customHeight="1" x14ac:dyDescent="0.2">
      <c r="B49" s="138"/>
      <c r="C49" s="139"/>
      <c r="D49" s="139"/>
      <c r="E49" s="139"/>
      <c r="F49" s="139"/>
      <c r="G49" s="139"/>
      <c r="H49" s="140"/>
      <c r="I49" s="138"/>
      <c r="J49" s="139"/>
      <c r="K49" s="139"/>
      <c r="L49" s="139"/>
      <c r="M49" s="139"/>
      <c r="N49" s="139"/>
      <c r="O49" s="139"/>
      <c r="P49" s="139"/>
      <c r="Q49" s="140"/>
    </row>
    <row r="50" spans="2:17" ht="12.75" customHeight="1" thickBot="1" x14ac:dyDescent="0.25">
      <c r="B50" s="141"/>
      <c r="C50" s="142"/>
      <c r="D50" s="142"/>
      <c r="E50" s="142"/>
      <c r="F50" s="142"/>
      <c r="G50" s="142"/>
      <c r="H50" s="143"/>
      <c r="I50" s="141"/>
      <c r="J50" s="142"/>
      <c r="K50" s="142"/>
      <c r="L50" s="142"/>
      <c r="M50" s="142"/>
      <c r="N50" s="142"/>
      <c r="O50" s="142"/>
      <c r="P50" s="142"/>
      <c r="Q50" s="143"/>
    </row>
    <row r="51" spans="2:17" ht="20.25" customHeight="1" thickBot="1" x14ac:dyDescent="0.25">
      <c r="B51" s="126" t="s">
        <v>383</v>
      </c>
      <c r="C51" s="127"/>
      <c r="D51" s="127"/>
      <c r="E51" s="127"/>
      <c r="F51" s="127"/>
      <c r="G51" s="127"/>
      <c r="H51" s="128"/>
      <c r="I51" s="126" t="s">
        <v>384</v>
      </c>
      <c r="J51" s="127"/>
      <c r="K51" s="127"/>
      <c r="L51" s="127"/>
      <c r="M51" s="127"/>
      <c r="N51" s="127"/>
      <c r="O51" s="127"/>
      <c r="P51" s="127"/>
      <c r="Q51" s="128"/>
    </row>
    <row r="52" spans="2:17" ht="12.75" customHeight="1" x14ac:dyDescent="0.2">
      <c r="B52" s="135" t="s">
        <v>398</v>
      </c>
      <c r="C52" s="136"/>
      <c r="D52" s="136"/>
      <c r="E52" s="136"/>
      <c r="F52" s="136"/>
      <c r="G52" s="136"/>
      <c r="H52" s="137"/>
      <c r="I52" s="135" t="s">
        <v>399</v>
      </c>
      <c r="J52" s="136"/>
      <c r="K52" s="136"/>
      <c r="L52" s="136"/>
      <c r="M52" s="136"/>
      <c r="N52" s="136"/>
      <c r="O52" s="136"/>
      <c r="P52" s="136"/>
      <c r="Q52" s="137"/>
    </row>
    <row r="53" spans="2:17" ht="12.75" customHeight="1" x14ac:dyDescent="0.2">
      <c r="B53" s="138"/>
      <c r="C53" s="139"/>
      <c r="D53" s="139"/>
      <c r="E53" s="139"/>
      <c r="F53" s="139"/>
      <c r="G53" s="139"/>
      <c r="H53" s="140"/>
      <c r="I53" s="138"/>
      <c r="J53" s="139"/>
      <c r="K53" s="139"/>
      <c r="L53" s="139"/>
      <c r="M53" s="139"/>
      <c r="N53" s="139"/>
      <c r="O53" s="139"/>
      <c r="P53" s="139"/>
      <c r="Q53" s="140"/>
    </row>
    <row r="54" spans="2:17" ht="12.75" customHeight="1" x14ac:dyDescent="0.2">
      <c r="B54" s="138"/>
      <c r="C54" s="139"/>
      <c r="D54" s="139"/>
      <c r="E54" s="139"/>
      <c r="F54" s="139"/>
      <c r="G54" s="139"/>
      <c r="H54" s="140"/>
      <c r="I54" s="138"/>
      <c r="J54" s="139"/>
      <c r="K54" s="139"/>
      <c r="L54" s="139"/>
      <c r="M54" s="139"/>
      <c r="N54" s="139"/>
      <c r="O54" s="139"/>
      <c r="P54" s="139"/>
      <c r="Q54" s="140"/>
    </row>
    <row r="55" spans="2:17" x14ac:dyDescent="0.2">
      <c r="B55" s="138"/>
      <c r="C55" s="139"/>
      <c r="D55" s="139"/>
      <c r="E55" s="139"/>
      <c r="F55" s="139"/>
      <c r="G55" s="139"/>
      <c r="H55" s="140"/>
      <c r="I55" s="138"/>
      <c r="J55" s="139"/>
      <c r="K55" s="139"/>
      <c r="L55" s="139"/>
      <c r="M55" s="139"/>
      <c r="N55" s="139"/>
      <c r="O55" s="139"/>
      <c r="P55" s="139"/>
      <c r="Q55" s="140"/>
    </row>
    <row r="56" spans="2:17" x14ac:dyDescent="0.2">
      <c r="B56" s="138"/>
      <c r="C56" s="139"/>
      <c r="D56" s="139"/>
      <c r="E56" s="139"/>
      <c r="F56" s="139"/>
      <c r="G56" s="139"/>
      <c r="H56" s="140"/>
      <c r="I56" s="138"/>
      <c r="J56" s="139"/>
      <c r="K56" s="139"/>
      <c r="L56" s="139"/>
      <c r="M56" s="139"/>
      <c r="N56" s="139"/>
      <c r="O56" s="139"/>
      <c r="P56" s="139"/>
      <c r="Q56" s="140"/>
    </row>
    <row r="57" spans="2:17" x14ac:dyDescent="0.2">
      <c r="B57" s="138"/>
      <c r="C57" s="139"/>
      <c r="D57" s="139"/>
      <c r="E57" s="139"/>
      <c r="F57" s="139"/>
      <c r="G57" s="139"/>
      <c r="H57" s="140"/>
      <c r="I57" s="138"/>
      <c r="J57" s="139"/>
      <c r="K57" s="139"/>
      <c r="L57" s="139"/>
      <c r="M57" s="139"/>
      <c r="N57" s="139"/>
      <c r="O57" s="139"/>
      <c r="P57" s="139"/>
      <c r="Q57" s="140"/>
    </row>
    <row r="58" spans="2:17" x14ac:dyDescent="0.2">
      <c r="B58" s="138"/>
      <c r="C58" s="139"/>
      <c r="D58" s="139"/>
      <c r="E58" s="139"/>
      <c r="F58" s="139"/>
      <c r="G58" s="139"/>
      <c r="H58" s="140"/>
      <c r="I58" s="138"/>
      <c r="J58" s="139"/>
      <c r="K58" s="139"/>
      <c r="L58" s="139"/>
      <c r="M58" s="139"/>
      <c r="N58" s="139"/>
      <c r="O58" s="139"/>
      <c r="P58" s="139"/>
      <c r="Q58" s="140"/>
    </row>
    <row r="59" spans="2:17" x14ac:dyDescent="0.2">
      <c r="B59" s="138"/>
      <c r="C59" s="139"/>
      <c r="D59" s="139"/>
      <c r="E59" s="139"/>
      <c r="F59" s="139"/>
      <c r="G59" s="139"/>
      <c r="H59" s="140"/>
      <c r="I59" s="138"/>
      <c r="J59" s="139"/>
      <c r="K59" s="139"/>
      <c r="L59" s="139"/>
      <c r="M59" s="139"/>
      <c r="N59" s="139"/>
      <c r="O59" s="139"/>
      <c r="P59" s="139"/>
      <c r="Q59" s="140"/>
    </row>
    <row r="60" spans="2:17" x14ac:dyDescent="0.2">
      <c r="B60" s="138"/>
      <c r="C60" s="139"/>
      <c r="D60" s="139"/>
      <c r="E60" s="139"/>
      <c r="F60" s="139"/>
      <c r="G60" s="139"/>
      <c r="H60" s="140"/>
      <c r="I60" s="138"/>
      <c r="J60" s="139"/>
      <c r="K60" s="139"/>
      <c r="L60" s="139"/>
      <c r="M60" s="139"/>
      <c r="N60" s="139"/>
      <c r="O60" s="139"/>
      <c r="P60" s="139"/>
      <c r="Q60" s="140"/>
    </row>
    <row r="61" spans="2:17" x14ac:dyDescent="0.2">
      <c r="B61" s="138"/>
      <c r="C61" s="139"/>
      <c r="D61" s="139"/>
      <c r="E61" s="139"/>
      <c r="F61" s="139"/>
      <c r="G61" s="139"/>
      <c r="H61" s="140"/>
      <c r="I61" s="138"/>
      <c r="J61" s="139"/>
      <c r="K61" s="139"/>
      <c r="L61" s="139"/>
      <c r="M61" s="139"/>
      <c r="N61" s="139"/>
      <c r="O61" s="139"/>
      <c r="P61" s="139"/>
      <c r="Q61" s="140"/>
    </row>
    <row r="62" spans="2:17" x14ac:dyDescent="0.2">
      <c r="B62" s="138"/>
      <c r="C62" s="139"/>
      <c r="D62" s="139"/>
      <c r="E62" s="139"/>
      <c r="F62" s="139"/>
      <c r="G62" s="139"/>
      <c r="H62" s="140"/>
      <c r="I62" s="138"/>
      <c r="J62" s="139"/>
      <c r="K62" s="139"/>
      <c r="L62" s="139"/>
      <c r="M62" s="139"/>
      <c r="N62" s="139"/>
      <c r="O62" s="139"/>
      <c r="P62" s="139"/>
      <c r="Q62" s="140"/>
    </row>
    <row r="63" spans="2:17" x14ac:dyDescent="0.2">
      <c r="B63" s="138"/>
      <c r="C63" s="139"/>
      <c r="D63" s="139"/>
      <c r="E63" s="139"/>
      <c r="F63" s="139"/>
      <c r="G63" s="139"/>
      <c r="H63" s="140"/>
      <c r="I63" s="138"/>
      <c r="J63" s="139"/>
      <c r="K63" s="139"/>
      <c r="L63" s="139"/>
      <c r="M63" s="139"/>
      <c r="N63" s="139"/>
      <c r="O63" s="139"/>
      <c r="P63" s="139"/>
      <c r="Q63" s="140"/>
    </row>
    <row r="64" spans="2:17" x14ac:dyDescent="0.2">
      <c r="B64" s="138"/>
      <c r="C64" s="139"/>
      <c r="D64" s="139"/>
      <c r="E64" s="139"/>
      <c r="F64" s="139"/>
      <c r="G64" s="139"/>
      <c r="H64" s="140"/>
      <c r="I64" s="138"/>
      <c r="J64" s="139"/>
      <c r="K64" s="139"/>
      <c r="L64" s="139"/>
      <c r="M64" s="139"/>
      <c r="N64" s="139"/>
      <c r="O64" s="139"/>
      <c r="P64" s="139"/>
      <c r="Q64" s="140"/>
    </row>
    <row r="65" spans="2:17" x14ac:dyDescent="0.2">
      <c r="B65" s="138"/>
      <c r="C65" s="139"/>
      <c r="D65" s="139"/>
      <c r="E65" s="139"/>
      <c r="F65" s="139"/>
      <c r="G65" s="139"/>
      <c r="H65" s="140"/>
      <c r="I65" s="138"/>
      <c r="J65" s="139"/>
      <c r="K65" s="139"/>
      <c r="L65" s="139"/>
      <c r="M65" s="139"/>
      <c r="N65" s="139"/>
      <c r="O65" s="139"/>
      <c r="P65" s="139"/>
      <c r="Q65" s="140"/>
    </row>
    <row r="66" spans="2:17" x14ac:dyDescent="0.2">
      <c r="B66" s="138"/>
      <c r="C66" s="139"/>
      <c r="D66" s="139"/>
      <c r="E66" s="139"/>
      <c r="F66" s="139"/>
      <c r="G66" s="139"/>
      <c r="H66" s="140"/>
      <c r="I66" s="138"/>
      <c r="J66" s="139"/>
      <c r="K66" s="139"/>
      <c r="L66" s="139"/>
      <c r="M66" s="139"/>
      <c r="N66" s="139"/>
      <c r="O66" s="139"/>
      <c r="P66" s="139"/>
      <c r="Q66" s="140"/>
    </row>
    <row r="67" spans="2:17" x14ac:dyDescent="0.2">
      <c r="B67" s="138"/>
      <c r="C67" s="139"/>
      <c r="D67" s="139"/>
      <c r="E67" s="139"/>
      <c r="F67" s="139"/>
      <c r="G67" s="139"/>
      <c r="H67" s="140"/>
      <c r="I67" s="138"/>
      <c r="J67" s="139"/>
      <c r="K67" s="139"/>
      <c r="L67" s="139"/>
      <c r="M67" s="139"/>
      <c r="N67" s="139"/>
      <c r="O67" s="139"/>
      <c r="P67" s="139"/>
      <c r="Q67" s="140"/>
    </row>
    <row r="68" spans="2:17" x14ac:dyDescent="0.2">
      <c r="B68" s="138"/>
      <c r="C68" s="139"/>
      <c r="D68" s="139"/>
      <c r="E68" s="139"/>
      <c r="F68" s="139"/>
      <c r="G68" s="139"/>
      <c r="H68" s="140"/>
      <c r="I68" s="138"/>
      <c r="J68" s="139"/>
      <c r="K68" s="139"/>
      <c r="L68" s="139"/>
      <c r="M68" s="139"/>
      <c r="N68" s="139"/>
      <c r="O68" s="139"/>
      <c r="P68" s="139"/>
      <c r="Q68" s="140"/>
    </row>
    <row r="69" spans="2:17" x14ac:dyDescent="0.2">
      <c r="B69" s="138"/>
      <c r="C69" s="139"/>
      <c r="D69" s="139"/>
      <c r="E69" s="139"/>
      <c r="F69" s="139"/>
      <c r="G69" s="139"/>
      <c r="H69" s="140"/>
      <c r="I69" s="138"/>
      <c r="J69" s="139"/>
      <c r="K69" s="139"/>
      <c r="L69" s="139"/>
      <c r="M69" s="139"/>
      <c r="N69" s="139"/>
      <c r="O69" s="139"/>
      <c r="P69" s="139"/>
      <c r="Q69" s="140"/>
    </row>
    <row r="70" spans="2:17" x14ac:dyDescent="0.2">
      <c r="B70" s="138"/>
      <c r="C70" s="139"/>
      <c r="D70" s="139"/>
      <c r="E70" s="139"/>
      <c r="F70" s="139"/>
      <c r="G70" s="139"/>
      <c r="H70" s="140"/>
      <c r="I70" s="138"/>
      <c r="J70" s="139"/>
      <c r="K70" s="139"/>
      <c r="L70" s="139"/>
      <c r="M70" s="139"/>
      <c r="N70" s="139"/>
      <c r="O70" s="139"/>
      <c r="P70" s="139"/>
      <c r="Q70" s="140"/>
    </row>
    <row r="71" spans="2:17" x14ac:dyDescent="0.2">
      <c r="B71" s="138"/>
      <c r="C71" s="139"/>
      <c r="D71" s="139"/>
      <c r="E71" s="139"/>
      <c r="F71" s="139"/>
      <c r="G71" s="139"/>
      <c r="H71" s="140"/>
      <c r="I71" s="138"/>
      <c r="J71" s="139"/>
      <c r="K71" s="139"/>
      <c r="L71" s="139"/>
      <c r="M71" s="139"/>
      <c r="N71" s="139"/>
      <c r="O71" s="139"/>
      <c r="P71" s="139"/>
      <c r="Q71" s="140"/>
    </row>
    <row r="72" spans="2:17" x14ac:dyDescent="0.2">
      <c r="B72" s="138"/>
      <c r="C72" s="139"/>
      <c r="D72" s="139"/>
      <c r="E72" s="139"/>
      <c r="F72" s="139"/>
      <c r="G72" s="139"/>
      <c r="H72" s="140"/>
      <c r="I72" s="138"/>
      <c r="J72" s="139"/>
      <c r="K72" s="139"/>
      <c r="L72" s="139"/>
      <c r="M72" s="139"/>
      <c r="N72" s="139"/>
      <c r="O72" s="139"/>
      <c r="P72" s="139"/>
      <c r="Q72" s="140"/>
    </row>
    <row r="73" spans="2:17" ht="14" thickBot="1" x14ac:dyDescent="0.25">
      <c r="B73" s="141"/>
      <c r="C73" s="142"/>
      <c r="D73" s="142"/>
      <c r="E73" s="142"/>
      <c r="F73" s="142"/>
      <c r="G73" s="142"/>
      <c r="H73" s="143"/>
      <c r="I73" s="141"/>
      <c r="J73" s="142"/>
      <c r="K73" s="142"/>
      <c r="L73" s="142"/>
      <c r="M73" s="142"/>
      <c r="N73" s="142"/>
      <c r="O73" s="142"/>
      <c r="P73" s="142"/>
      <c r="Q73" s="143"/>
    </row>
    <row r="74" spans="2:17" ht="20.25" customHeight="1" thickBot="1" x14ac:dyDescent="0.25">
      <c r="B74" s="126" t="s">
        <v>385</v>
      </c>
      <c r="C74" s="127"/>
      <c r="D74" s="127"/>
      <c r="E74" s="127"/>
      <c r="F74" s="127"/>
      <c r="G74" s="127"/>
      <c r="H74" s="128"/>
      <c r="I74" s="126" t="s">
        <v>386</v>
      </c>
      <c r="J74" s="127"/>
      <c r="K74" s="127"/>
      <c r="L74" s="127"/>
      <c r="M74" s="127"/>
      <c r="N74" s="127"/>
      <c r="O74" s="127"/>
      <c r="P74" s="127"/>
      <c r="Q74" s="128"/>
    </row>
    <row r="75" spans="2:17" x14ac:dyDescent="0.2">
      <c r="B75" s="135" t="s">
        <v>400</v>
      </c>
      <c r="C75" s="136"/>
      <c r="D75" s="136"/>
      <c r="E75" s="136"/>
      <c r="F75" s="136"/>
      <c r="G75" s="136"/>
      <c r="H75" s="137"/>
      <c r="I75" s="135" t="s">
        <v>401</v>
      </c>
      <c r="J75" s="136"/>
      <c r="K75" s="136"/>
      <c r="L75" s="136"/>
      <c r="M75" s="136"/>
      <c r="N75" s="136"/>
      <c r="O75" s="136"/>
      <c r="P75" s="136"/>
      <c r="Q75" s="137"/>
    </row>
    <row r="76" spans="2:17" x14ac:dyDescent="0.2">
      <c r="B76" s="138"/>
      <c r="C76" s="139"/>
      <c r="D76" s="139"/>
      <c r="E76" s="139"/>
      <c r="F76" s="139"/>
      <c r="G76" s="139"/>
      <c r="H76" s="140"/>
      <c r="I76" s="138"/>
      <c r="J76" s="139"/>
      <c r="K76" s="139"/>
      <c r="L76" s="139"/>
      <c r="M76" s="139"/>
      <c r="N76" s="139"/>
      <c r="O76" s="139"/>
      <c r="P76" s="139"/>
      <c r="Q76" s="140"/>
    </row>
    <row r="77" spans="2:17" x14ac:dyDescent="0.2">
      <c r="B77" s="138"/>
      <c r="C77" s="139"/>
      <c r="D77" s="139"/>
      <c r="E77" s="139"/>
      <c r="F77" s="139"/>
      <c r="G77" s="139"/>
      <c r="H77" s="140"/>
      <c r="I77" s="138"/>
      <c r="J77" s="139"/>
      <c r="K77" s="139"/>
      <c r="L77" s="139"/>
      <c r="M77" s="139"/>
      <c r="N77" s="139"/>
      <c r="O77" s="139"/>
      <c r="P77" s="139"/>
      <c r="Q77" s="140"/>
    </row>
    <row r="78" spans="2:17" x14ac:dyDescent="0.2">
      <c r="B78" s="138"/>
      <c r="C78" s="139"/>
      <c r="D78" s="139"/>
      <c r="E78" s="139"/>
      <c r="F78" s="139"/>
      <c r="G78" s="139"/>
      <c r="H78" s="140"/>
      <c r="I78" s="138"/>
      <c r="J78" s="139"/>
      <c r="K78" s="139"/>
      <c r="L78" s="139"/>
      <c r="M78" s="139"/>
      <c r="N78" s="139"/>
      <c r="O78" s="139"/>
      <c r="P78" s="139"/>
      <c r="Q78" s="140"/>
    </row>
    <row r="79" spans="2:17" x14ac:dyDescent="0.2">
      <c r="B79" s="138"/>
      <c r="C79" s="139"/>
      <c r="D79" s="139"/>
      <c r="E79" s="139"/>
      <c r="F79" s="139"/>
      <c r="G79" s="139"/>
      <c r="H79" s="140"/>
      <c r="I79" s="138"/>
      <c r="J79" s="139"/>
      <c r="K79" s="139"/>
      <c r="L79" s="139"/>
      <c r="M79" s="139"/>
      <c r="N79" s="139"/>
      <c r="O79" s="139"/>
      <c r="P79" s="139"/>
      <c r="Q79" s="140"/>
    </row>
    <row r="80" spans="2:17" x14ac:dyDescent="0.2">
      <c r="B80" s="138"/>
      <c r="C80" s="139"/>
      <c r="D80" s="139"/>
      <c r="E80" s="139"/>
      <c r="F80" s="139"/>
      <c r="G80" s="139"/>
      <c r="H80" s="140"/>
      <c r="I80" s="138"/>
      <c r="J80" s="139"/>
      <c r="K80" s="139"/>
      <c r="L80" s="139"/>
      <c r="M80" s="139"/>
      <c r="N80" s="139"/>
      <c r="O80" s="139"/>
      <c r="P80" s="139"/>
      <c r="Q80" s="140"/>
    </row>
    <row r="81" spans="2:17" x14ac:dyDescent="0.2">
      <c r="B81" s="138"/>
      <c r="C81" s="139"/>
      <c r="D81" s="139"/>
      <c r="E81" s="139"/>
      <c r="F81" s="139"/>
      <c r="G81" s="139"/>
      <c r="H81" s="140"/>
      <c r="I81" s="138"/>
      <c r="J81" s="139"/>
      <c r="K81" s="139"/>
      <c r="L81" s="139"/>
      <c r="M81" s="139"/>
      <c r="N81" s="139"/>
      <c r="O81" s="139"/>
      <c r="P81" s="139"/>
      <c r="Q81" s="140"/>
    </row>
    <row r="82" spans="2:17" x14ac:dyDescent="0.2">
      <c r="B82" s="138"/>
      <c r="C82" s="139"/>
      <c r="D82" s="139"/>
      <c r="E82" s="139"/>
      <c r="F82" s="139"/>
      <c r="G82" s="139"/>
      <c r="H82" s="140"/>
      <c r="I82" s="138"/>
      <c r="J82" s="139"/>
      <c r="K82" s="139"/>
      <c r="L82" s="139"/>
      <c r="M82" s="139"/>
      <c r="N82" s="139"/>
      <c r="O82" s="139"/>
      <c r="P82" s="139"/>
      <c r="Q82" s="140"/>
    </row>
    <row r="83" spans="2:17" x14ac:dyDescent="0.2">
      <c r="B83" s="138"/>
      <c r="C83" s="139"/>
      <c r="D83" s="139"/>
      <c r="E83" s="139"/>
      <c r="F83" s="139"/>
      <c r="G83" s="139"/>
      <c r="H83" s="140"/>
      <c r="I83" s="138"/>
      <c r="J83" s="139"/>
      <c r="K83" s="139"/>
      <c r="L83" s="139"/>
      <c r="M83" s="139"/>
      <c r="N83" s="139"/>
      <c r="O83" s="139"/>
      <c r="P83" s="139"/>
      <c r="Q83" s="140"/>
    </row>
    <row r="84" spans="2:17" x14ac:dyDescent="0.2">
      <c r="B84" s="138"/>
      <c r="C84" s="139"/>
      <c r="D84" s="139"/>
      <c r="E84" s="139"/>
      <c r="F84" s="139"/>
      <c r="G84" s="139"/>
      <c r="H84" s="140"/>
      <c r="I84" s="138"/>
      <c r="J84" s="139"/>
      <c r="K84" s="139"/>
      <c r="L84" s="139"/>
      <c r="M84" s="139"/>
      <c r="N84" s="139"/>
      <c r="O84" s="139"/>
      <c r="P84" s="139"/>
      <c r="Q84" s="140"/>
    </row>
    <row r="85" spans="2:17" x14ac:dyDescent="0.2">
      <c r="B85" s="138"/>
      <c r="C85" s="139"/>
      <c r="D85" s="139"/>
      <c r="E85" s="139"/>
      <c r="F85" s="139"/>
      <c r="G85" s="139"/>
      <c r="H85" s="140"/>
      <c r="I85" s="138"/>
      <c r="J85" s="139"/>
      <c r="K85" s="139"/>
      <c r="L85" s="139"/>
      <c r="M85" s="139"/>
      <c r="N85" s="139"/>
      <c r="O85" s="139"/>
      <c r="P85" s="139"/>
      <c r="Q85" s="140"/>
    </row>
    <row r="86" spans="2:17" x14ac:dyDescent="0.2">
      <c r="B86" s="138"/>
      <c r="C86" s="139"/>
      <c r="D86" s="139"/>
      <c r="E86" s="139"/>
      <c r="F86" s="139"/>
      <c r="G86" s="139"/>
      <c r="H86" s="140"/>
      <c r="I86" s="138"/>
      <c r="J86" s="139"/>
      <c r="K86" s="139"/>
      <c r="L86" s="139"/>
      <c r="M86" s="139"/>
      <c r="N86" s="139"/>
      <c r="O86" s="139"/>
      <c r="P86" s="139"/>
      <c r="Q86" s="140"/>
    </row>
    <row r="87" spans="2:17" x14ac:dyDescent="0.2">
      <c r="B87" s="138"/>
      <c r="C87" s="139"/>
      <c r="D87" s="139"/>
      <c r="E87" s="139"/>
      <c r="F87" s="139"/>
      <c r="G87" s="139"/>
      <c r="H87" s="140"/>
      <c r="I87" s="138"/>
      <c r="J87" s="139"/>
      <c r="K87" s="139"/>
      <c r="L87" s="139"/>
      <c r="M87" s="139"/>
      <c r="N87" s="139"/>
      <c r="O87" s="139"/>
      <c r="P87" s="139"/>
      <c r="Q87" s="140"/>
    </row>
    <row r="88" spans="2:17" x14ac:dyDescent="0.2">
      <c r="B88" s="138"/>
      <c r="C88" s="139"/>
      <c r="D88" s="139"/>
      <c r="E88" s="139"/>
      <c r="F88" s="139"/>
      <c r="G88" s="139"/>
      <c r="H88" s="140"/>
      <c r="I88" s="138"/>
      <c r="J88" s="139"/>
      <c r="K88" s="139"/>
      <c r="L88" s="139"/>
      <c r="M88" s="139"/>
      <c r="N88" s="139"/>
      <c r="O88" s="139"/>
      <c r="P88" s="139"/>
      <c r="Q88" s="140"/>
    </row>
    <row r="89" spans="2:17" x14ac:dyDescent="0.2">
      <c r="B89" s="138"/>
      <c r="C89" s="139"/>
      <c r="D89" s="139"/>
      <c r="E89" s="139"/>
      <c r="F89" s="139"/>
      <c r="G89" s="139"/>
      <c r="H89" s="140"/>
      <c r="I89" s="138"/>
      <c r="J89" s="139"/>
      <c r="K89" s="139"/>
      <c r="L89" s="139"/>
      <c r="M89" s="139"/>
      <c r="N89" s="139"/>
      <c r="O89" s="139"/>
      <c r="P89" s="139"/>
      <c r="Q89" s="140"/>
    </row>
    <row r="90" spans="2:17" x14ac:dyDescent="0.2">
      <c r="B90" s="138"/>
      <c r="C90" s="139"/>
      <c r="D90" s="139"/>
      <c r="E90" s="139"/>
      <c r="F90" s="139"/>
      <c r="G90" s="139"/>
      <c r="H90" s="140"/>
      <c r="I90" s="138"/>
      <c r="J90" s="139"/>
      <c r="K90" s="139"/>
      <c r="L90" s="139"/>
      <c r="M90" s="139"/>
      <c r="N90" s="139"/>
      <c r="O90" s="139"/>
      <c r="P90" s="139"/>
      <c r="Q90" s="140"/>
    </row>
    <row r="91" spans="2:17" x14ac:dyDescent="0.2">
      <c r="B91" s="138"/>
      <c r="C91" s="139"/>
      <c r="D91" s="139"/>
      <c r="E91" s="139"/>
      <c r="F91" s="139"/>
      <c r="G91" s="139"/>
      <c r="H91" s="140"/>
      <c r="I91" s="138"/>
      <c r="J91" s="139"/>
      <c r="K91" s="139"/>
      <c r="L91" s="139"/>
      <c r="M91" s="139"/>
      <c r="N91" s="139"/>
      <c r="O91" s="139"/>
      <c r="P91" s="139"/>
      <c r="Q91" s="140"/>
    </row>
    <row r="92" spans="2:17" x14ac:dyDescent="0.2">
      <c r="B92" s="138"/>
      <c r="C92" s="139"/>
      <c r="D92" s="139"/>
      <c r="E92" s="139"/>
      <c r="F92" s="139"/>
      <c r="G92" s="139"/>
      <c r="H92" s="140"/>
      <c r="I92" s="138"/>
      <c r="J92" s="139"/>
      <c r="K92" s="139"/>
      <c r="L92" s="139"/>
      <c r="M92" s="139"/>
      <c r="N92" s="139"/>
      <c r="O92" s="139"/>
      <c r="P92" s="139"/>
      <c r="Q92" s="140"/>
    </row>
    <row r="93" spans="2:17" x14ac:dyDescent="0.2">
      <c r="B93" s="138"/>
      <c r="C93" s="139"/>
      <c r="D93" s="139"/>
      <c r="E93" s="139"/>
      <c r="F93" s="139"/>
      <c r="G93" s="139"/>
      <c r="H93" s="140"/>
      <c r="I93" s="138"/>
      <c r="J93" s="139"/>
      <c r="K93" s="139"/>
      <c r="L93" s="139"/>
      <c r="M93" s="139"/>
      <c r="N93" s="139"/>
      <c r="O93" s="139"/>
      <c r="P93" s="139"/>
      <c r="Q93" s="140"/>
    </row>
    <row r="94" spans="2:17" x14ac:dyDescent="0.2">
      <c r="B94" s="138"/>
      <c r="C94" s="139"/>
      <c r="D94" s="139"/>
      <c r="E94" s="139"/>
      <c r="F94" s="139"/>
      <c r="G94" s="139"/>
      <c r="H94" s="140"/>
      <c r="I94" s="138"/>
      <c r="J94" s="139"/>
      <c r="K94" s="139"/>
      <c r="L94" s="139"/>
      <c r="M94" s="139"/>
      <c r="N94" s="139"/>
      <c r="O94" s="139"/>
      <c r="P94" s="139"/>
      <c r="Q94" s="140"/>
    </row>
    <row r="95" spans="2:17" x14ac:dyDescent="0.2">
      <c r="B95" s="138"/>
      <c r="C95" s="139"/>
      <c r="D95" s="139"/>
      <c r="E95" s="139"/>
      <c r="F95" s="139"/>
      <c r="G95" s="139"/>
      <c r="H95" s="140"/>
      <c r="I95" s="138"/>
      <c r="J95" s="139"/>
      <c r="K95" s="139"/>
      <c r="L95" s="139"/>
      <c r="M95" s="139"/>
      <c r="N95" s="139"/>
      <c r="O95" s="139"/>
      <c r="P95" s="139"/>
      <c r="Q95" s="140"/>
    </row>
    <row r="96" spans="2:17" ht="14" thickBot="1" x14ac:dyDescent="0.25">
      <c r="B96" s="141"/>
      <c r="C96" s="142"/>
      <c r="D96" s="142"/>
      <c r="E96" s="142"/>
      <c r="F96" s="142"/>
      <c r="G96" s="142"/>
      <c r="H96" s="143"/>
      <c r="I96" s="141"/>
      <c r="J96" s="142"/>
      <c r="K96" s="142"/>
      <c r="L96" s="142"/>
      <c r="M96" s="142"/>
      <c r="N96" s="142"/>
      <c r="O96" s="142"/>
      <c r="P96" s="142"/>
      <c r="Q96" s="143"/>
    </row>
    <row r="97" spans="2:17" ht="20.25" customHeight="1" thickBot="1" x14ac:dyDescent="0.25">
      <c r="B97" s="126" t="s">
        <v>387</v>
      </c>
      <c r="C97" s="127"/>
      <c r="D97" s="127"/>
      <c r="E97" s="127"/>
      <c r="F97" s="127"/>
      <c r="G97" s="127"/>
      <c r="H97" s="128"/>
      <c r="I97" s="126" t="s">
        <v>388</v>
      </c>
      <c r="J97" s="127"/>
      <c r="K97" s="127"/>
      <c r="L97" s="127"/>
      <c r="M97" s="127"/>
      <c r="N97" s="127"/>
      <c r="O97" s="127"/>
      <c r="P97" s="127"/>
      <c r="Q97" s="128"/>
    </row>
    <row r="98" spans="2:17" x14ac:dyDescent="0.2">
      <c r="B98" s="135" t="s">
        <v>402</v>
      </c>
      <c r="C98" s="136"/>
      <c r="D98" s="136"/>
      <c r="E98" s="136"/>
      <c r="F98" s="136"/>
      <c r="G98" s="136"/>
      <c r="H98" s="137"/>
      <c r="I98" s="135" t="s">
        <v>403</v>
      </c>
      <c r="J98" s="136"/>
      <c r="K98" s="136"/>
      <c r="L98" s="136"/>
      <c r="M98" s="136"/>
      <c r="N98" s="136"/>
      <c r="O98" s="136"/>
      <c r="P98" s="136"/>
      <c r="Q98" s="137"/>
    </row>
    <row r="99" spans="2:17" x14ac:dyDescent="0.2">
      <c r="B99" s="138"/>
      <c r="C99" s="139"/>
      <c r="D99" s="139"/>
      <c r="E99" s="139"/>
      <c r="F99" s="139"/>
      <c r="G99" s="139"/>
      <c r="H99" s="140"/>
      <c r="I99" s="138"/>
      <c r="J99" s="139"/>
      <c r="K99" s="139"/>
      <c r="L99" s="139"/>
      <c r="M99" s="139"/>
      <c r="N99" s="139"/>
      <c r="O99" s="139"/>
      <c r="P99" s="139"/>
      <c r="Q99" s="140"/>
    </row>
    <row r="100" spans="2:17" x14ac:dyDescent="0.2">
      <c r="B100" s="138"/>
      <c r="C100" s="139"/>
      <c r="D100" s="139"/>
      <c r="E100" s="139"/>
      <c r="F100" s="139"/>
      <c r="G100" s="139"/>
      <c r="H100" s="140"/>
      <c r="I100" s="138"/>
      <c r="J100" s="139"/>
      <c r="K100" s="139"/>
      <c r="L100" s="139"/>
      <c r="M100" s="139"/>
      <c r="N100" s="139"/>
      <c r="O100" s="139"/>
      <c r="P100" s="139"/>
      <c r="Q100" s="140"/>
    </row>
    <row r="101" spans="2:17" x14ac:dyDescent="0.2">
      <c r="B101" s="138"/>
      <c r="C101" s="139"/>
      <c r="D101" s="139"/>
      <c r="E101" s="139"/>
      <c r="F101" s="139"/>
      <c r="G101" s="139"/>
      <c r="H101" s="140"/>
      <c r="I101" s="138"/>
      <c r="J101" s="139"/>
      <c r="K101" s="139"/>
      <c r="L101" s="139"/>
      <c r="M101" s="139"/>
      <c r="N101" s="139"/>
      <c r="O101" s="139"/>
      <c r="P101" s="139"/>
      <c r="Q101" s="140"/>
    </row>
    <row r="102" spans="2:17" x14ac:dyDescent="0.2">
      <c r="B102" s="138"/>
      <c r="C102" s="139"/>
      <c r="D102" s="139"/>
      <c r="E102" s="139"/>
      <c r="F102" s="139"/>
      <c r="G102" s="139"/>
      <c r="H102" s="140"/>
      <c r="I102" s="138"/>
      <c r="J102" s="139"/>
      <c r="K102" s="139"/>
      <c r="L102" s="139"/>
      <c r="M102" s="139"/>
      <c r="N102" s="139"/>
      <c r="O102" s="139"/>
      <c r="P102" s="139"/>
      <c r="Q102" s="140"/>
    </row>
    <row r="103" spans="2:17" x14ac:dyDescent="0.2">
      <c r="B103" s="138"/>
      <c r="C103" s="139"/>
      <c r="D103" s="139"/>
      <c r="E103" s="139"/>
      <c r="F103" s="139"/>
      <c r="G103" s="139"/>
      <c r="H103" s="140"/>
      <c r="I103" s="138"/>
      <c r="J103" s="139"/>
      <c r="K103" s="139"/>
      <c r="L103" s="139"/>
      <c r="M103" s="139"/>
      <c r="N103" s="139"/>
      <c r="O103" s="139"/>
      <c r="P103" s="139"/>
      <c r="Q103" s="140"/>
    </row>
    <row r="104" spans="2:17" x14ac:dyDescent="0.2">
      <c r="B104" s="138"/>
      <c r="C104" s="139"/>
      <c r="D104" s="139"/>
      <c r="E104" s="139"/>
      <c r="F104" s="139"/>
      <c r="G104" s="139"/>
      <c r="H104" s="140"/>
      <c r="I104" s="138"/>
      <c r="J104" s="139"/>
      <c r="K104" s="139"/>
      <c r="L104" s="139"/>
      <c r="M104" s="139"/>
      <c r="N104" s="139"/>
      <c r="O104" s="139"/>
      <c r="P104" s="139"/>
      <c r="Q104" s="140"/>
    </row>
    <row r="105" spans="2:17" x14ac:dyDescent="0.2">
      <c r="B105" s="138"/>
      <c r="C105" s="139"/>
      <c r="D105" s="139"/>
      <c r="E105" s="139"/>
      <c r="F105" s="139"/>
      <c r="G105" s="139"/>
      <c r="H105" s="140"/>
      <c r="I105" s="138"/>
      <c r="J105" s="139"/>
      <c r="K105" s="139"/>
      <c r="L105" s="139"/>
      <c r="M105" s="139"/>
      <c r="N105" s="139"/>
      <c r="O105" s="139"/>
      <c r="P105" s="139"/>
      <c r="Q105" s="140"/>
    </row>
    <row r="106" spans="2:17" x14ac:dyDescent="0.2">
      <c r="B106" s="138"/>
      <c r="C106" s="139"/>
      <c r="D106" s="139"/>
      <c r="E106" s="139"/>
      <c r="F106" s="139"/>
      <c r="G106" s="139"/>
      <c r="H106" s="140"/>
      <c r="I106" s="138"/>
      <c r="J106" s="139"/>
      <c r="K106" s="139"/>
      <c r="L106" s="139"/>
      <c r="M106" s="139"/>
      <c r="N106" s="139"/>
      <c r="O106" s="139"/>
      <c r="P106" s="139"/>
      <c r="Q106" s="140"/>
    </row>
    <row r="107" spans="2:17" x14ac:dyDescent="0.2">
      <c r="B107" s="138"/>
      <c r="C107" s="139"/>
      <c r="D107" s="139"/>
      <c r="E107" s="139"/>
      <c r="F107" s="139"/>
      <c r="G107" s="139"/>
      <c r="H107" s="140"/>
      <c r="I107" s="138"/>
      <c r="J107" s="139"/>
      <c r="K107" s="139"/>
      <c r="L107" s="139"/>
      <c r="M107" s="139"/>
      <c r="N107" s="139"/>
      <c r="O107" s="139"/>
      <c r="P107" s="139"/>
      <c r="Q107" s="140"/>
    </row>
    <row r="108" spans="2:17" x14ac:dyDescent="0.2">
      <c r="B108" s="138"/>
      <c r="C108" s="139"/>
      <c r="D108" s="139"/>
      <c r="E108" s="139"/>
      <c r="F108" s="139"/>
      <c r="G108" s="139"/>
      <c r="H108" s="140"/>
      <c r="I108" s="138"/>
      <c r="J108" s="139"/>
      <c r="K108" s="139"/>
      <c r="L108" s="139"/>
      <c r="M108" s="139"/>
      <c r="N108" s="139"/>
      <c r="O108" s="139"/>
      <c r="P108" s="139"/>
      <c r="Q108" s="140"/>
    </row>
    <row r="109" spans="2:17" x14ac:dyDescent="0.2">
      <c r="B109" s="138"/>
      <c r="C109" s="139"/>
      <c r="D109" s="139"/>
      <c r="E109" s="139"/>
      <c r="F109" s="139"/>
      <c r="G109" s="139"/>
      <c r="H109" s="140"/>
      <c r="I109" s="138"/>
      <c r="J109" s="139"/>
      <c r="K109" s="139"/>
      <c r="L109" s="139"/>
      <c r="M109" s="139"/>
      <c r="N109" s="139"/>
      <c r="O109" s="139"/>
      <c r="P109" s="139"/>
      <c r="Q109" s="140"/>
    </row>
    <row r="110" spans="2:17" x14ac:dyDescent="0.2">
      <c r="B110" s="138"/>
      <c r="C110" s="139"/>
      <c r="D110" s="139"/>
      <c r="E110" s="139"/>
      <c r="F110" s="139"/>
      <c r="G110" s="139"/>
      <c r="H110" s="140"/>
      <c r="I110" s="138"/>
      <c r="J110" s="139"/>
      <c r="K110" s="139"/>
      <c r="L110" s="139"/>
      <c r="M110" s="139"/>
      <c r="N110" s="139"/>
      <c r="O110" s="139"/>
      <c r="P110" s="139"/>
      <c r="Q110" s="140"/>
    </row>
    <row r="111" spans="2:17" x14ac:dyDescent="0.2">
      <c r="B111" s="138"/>
      <c r="C111" s="139"/>
      <c r="D111" s="139"/>
      <c r="E111" s="139"/>
      <c r="F111" s="139"/>
      <c r="G111" s="139"/>
      <c r="H111" s="140"/>
      <c r="I111" s="138"/>
      <c r="J111" s="139"/>
      <c r="K111" s="139"/>
      <c r="L111" s="139"/>
      <c r="M111" s="139"/>
      <c r="N111" s="139"/>
      <c r="O111" s="139"/>
      <c r="P111" s="139"/>
      <c r="Q111" s="140"/>
    </row>
    <row r="112" spans="2:17" x14ac:dyDescent="0.2">
      <c r="B112" s="138"/>
      <c r="C112" s="139"/>
      <c r="D112" s="139"/>
      <c r="E112" s="139"/>
      <c r="F112" s="139"/>
      <c r="G112" s="139"/>
      <c r="H112" s="140"/>
      <c r="I112" s="138"/>
      <c r="J112" s="139"/>
      <c r="K112" s="139"/>
      <c r="L112" s="139"/>
      <c r="M112" s="139"/>
      <c r="N112" s="139"/>
      <c r="O112" s="139"/>
      <c r="P112" s="139"/>
      <c r="Q112" s="140"/>
    </row>
    <row r="113" spans="2:17" x14ac:dyDescent="0.2">
      <c r="B113" s="138"/>
      <c r="C113" s="139"/>
      <c r="D113" s="139"/>
      <c r="E113" s="139"/>
      <c r="F113" s="139"/>
      <c r="G113" s="139"/>
      <c r="H113" s="140"/>
      <c r="I113" s="138"/>
      <c r="J113" s="139"/>
      <c r="K113" s="139"/>
      <c r="L113" s="139"/>
      <c r="M113" s="139"/>
      <c r="N113" s="139"/>
      <c r="O113" s="139"/>
      <c r="P113" s="139"/>
      <c r="Q113" s="140"/>
    </row>
    <row r="114" spans="2:17" x14ac:dyDescent="0.2">
      <c r="B114" s="138"/>
      <c r="C114" s="139"/>
      <c r="D114" s="139"/>
      <c r="E114" s="139"/>
      <c r="F114" s="139"/>
      <c r="G114" s="139"/>
      <c r="H114" s="140"/>
      <c r="I114" s="138"/>
      <c r="J114" s="139"/>
      <c r="K114" s="139"/>
      <c r="L114" s="139"/>
      <c r="M114" s="139"/>
      <c r="N114" s="139"/>
      <c r="O114" s="139"/>
      <c r="P114" s="139"/>
      <c r="Q114" s="140"/>
    </row>
    <row r="115" spans="2:17" x14ac:dyDescent="0.2">
      <c r="B115" s="138"/>
      <c r="C115" s="139"/>
      <c r="D115" s="139"/>
      <c r="E115" s="139"/>
      <c r="F115" s="139"/>
      <c r="G115" s="139"/>
      <c r="H115" s="140"/>
      <c r="I115" s="138"/>
      <c r="J115" s="139"/>
      <c r="K115" s="139"/>
      <c r="L115" s="139"/>
      <c r="M115" s="139"/>
      <c r="N115" s="139"/>
      <c r="O115" s="139"/>
      <c r="P115" s="139"/>
      <c r="Q115" s="140"/>
    </row>
    <row r="116" spans="2:17" x14ac:dyDescent="0.2">
      <c r="B116" s="138"/>
      <c r="C116" s="139"/>
      <c r="D116" s="139"/>
      <c r="E116" s="139"/>
      <c r="F116" s="139"/>
      <c r="G116" s="139"/>
      <c r="H116" s="140"/>
      <c r="I116" s="138"/>
      <c r="J116" s="139"/>
      <c r="K116" s="139"/>
      <c r="L116" s="139"/>
      <c r="M116" s="139"/>
      <c r="N116" s="139"/>
      <c r="O116" s="139"/>
      <c r="P116" s="139"/>
      <c r="Q116" s="140"/>
    </row>
    <row r="117" spans="2:17" x14ac:dyDescent="0.2">
      <c r="B117" s="138"/>
      <c r="C117" s="139"/>
      <c r="D117" s="139"/>
      <c r="E117" s="139"/>
      <c r="F117" s="139"/>
      <c r="G117" s="139"/>
      <c r="H117" s="140"/>
      <c r="I117" s="138"/>
      <c r="J117" s="139"/>
      <c r="K117" s="139"/>
      <c r="L117" s="139"/>
      <c r="M117" s="139"/>
      <c r="N117" s="139"/>
      <c r="O117" s="139"/>
      <c r="P117" s="139"/>
      <c r="Q117" s="140"/>
    </row>
    <row r="118" spans="2:17" x14ac:dyDescent="0.2">
      <c r="B118" s="138"/>
      <c r="C118" s="139"/>
      <c r="D118" s="139"/>
      <c r="E118" s="139"/>
      <c r="F118" s="139"/>
      <c r="G118" s="139"/>
      <c r="H118" s="140"/>
      <c r="I118" s="138"/>
      <c r="J118" s="139"/>
      <c r="K118" s="139"/>
      <c r="L118" s="139"/>
      <c r="M118" s="139"/>
      <c r="N118" s="139"/>
      <c r="O118" s="139"/>
      <c r="P118" s="139"/>
      <c r="Q118" s="140"/>
    </row>
    <row r="119" spans="2:17" ht="14" thickBot="1" x14ac:dyDescent="0.25">
      <c r="B119" s="141"/>
      <c r="C119" s="142"/>
      <c r="D119" s="142"/>
      <c r="E119" s="142"/>
      <c r="F119" s="142"/>
      <c r="G119" s="142"/>
      <c r="H119" s="143"/>
      <c r="I119" s="141"/>
      <c r="J119" s="142"/>
      <c r="K119" s="142"/>
      <c r="L119" s="142"/>
      <c r="M119" s="142"/>
      <c r="N119" s="142"/>
      <c r="O119" s="142"/>
      <c r="P119" s="142"/>
      <c r="Q119" s="143"/>
    </row>
    <row r="120" spans="2:17" ht="21.75" customHeight="1" thickBot="1" x14ac:dyDescent="0.25">
      <c r="B120" s="126" t="s">
        <v>389</v>
      </c>
      <c r="C120" s="127"/>
      <c r="D120" s="127"/>
      <c r="E120" s="127"/>
      <c r="F120" s="127"/>
      <c r="G120" s="127"/>
      <c r="H120" s="128"/>
      <c r="I120" s="126" t="s">
        <v>390</v>
      </c>
      <c r="J120" s="127"/>
      <c r="K120" s="127"/>
      <c r="L120" s="127"/>
      <c r="M120" s="127"/>
      <c r="N120" s="127"/>
      <c r="O120" s="127"/>
      <c r="P120" s="127"/>
      <c r="Q120" s="128"/>
    </row>
  </sheetData>
  <mergeCells count="49">
    <mergeCell ref="B2:C4"/>
    <mergeCell ref="D2:M4"/>
    <mergeCell ref="B5:Q5"/>
    <mergeCell ref="B15:Q15"/>
    <mergeCell ref="B7:C7"/>
    <mergeCell ref="N2:O2"/>
    <mergeCell ref="N3:O3"/>
    <mergeCell ref="N4:Q4"/>
    <mergeCell ref="P2:Q2"/>
    <mergeCell ref="P3:Q3"/>
    <mergeCell ref="I29:Q50"/>
    <mergeCell ref="S20:BB20"/>
    <mergeCell ref="B16:Q16"/>
    <mergeCell ref="B17:Q17"/>
    <mergeCell ref="B18:Q18"/>
    <mergeCell ref="B19:Q19"/>
    <mergeCell ref="B20:Q20"/>
    <mergeCell ref="B21:Q21"/>
    <mergeCell ref="B22:Q22"/>
    <mergeCell ref="B23:Q23"/>
    <mergeCell ref="I98:Q119"/>
    <mergeCell ref="B74:H74"/>
    <mergeCell ref="I74:Q74"/>
    <mergeCell ref="B27:Q27"/>
    <mergeCell ref="B28:Q28"/>
    <mergeCell ref="I51:Q51"/>
    <mergeCell ref="B51:H51"/>
    <mergeCell ref="B52:H73"/>
    <mergeCell ref="I52:Q73"/>
    <mergeCell ref="B24:Q24"/>
    <mergeCell ref="B25:Q25"/>
    <mergeCell ref="B26:Q26"/>
    <mergeCell ref="B29:H50"/>
    <mergeCell ref="B120:H120"/>
    <mergeCell ref="I120:Q120"/>
    <mergeCell ref="D7:Q7"/>
    <mergeCell ref="B6:Q6"/>
    <mergeCell ref="B75:H96"/>
    <mergeCell ref="B8:Q8"/>
    <mergeCell ref="B9:Q9"/>
    <mergeCell ref="B10:Q10"/>
    <mergeCell ref="B11:Q11"/>
    <mergeCell ref="B12:Q12"/>
    <mergeCell ref="B13:Q13"/>
    <mergeCell ref="B14:Q14"/>
    <mergeCell ref="I75:Q96"/>
    <mergeCell ref="B97:H97"/>
    <mergeCell ref="I97:Q97"/>
    <mergeCell ref="B98:H119"/>
  </mergeCells>
  <phoneticPr fontId="12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47" fitToHeight="2" orientation="portrait" r:id="rId1"/>
  <headerFooter alignWithMargins="0">
    <oddFooter>&amp;L&amp;1#&amp;"Calibri"&amp;8&amp;K000000Bu dokümanda HASSAS bilgi bulunmamaktadır. / This document does not contain SENSITIVE information.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B1:DU28"/>
  <sheetViews>
    <sheetView zoomScale="115" zoomScaleNormal="115" workbookViewId="0">
      <pane ySplit="4" topLeftCell="A5" activePane="bottomLeft" state="frozen"/>
      <selection activeCell="H51" sqref="H51:M51"/>
      <selection pane="bottomLeft" activeCell="B7" sqref="B7:B18"/>
    </sheetView>
  </sheetViews>
  <sheetFormatPr baseColWidth="10" defaultColWidth="8.83203125" defaultRowHeight="15" x14ac:dyDescent="0.2"/>
  <cols>
    <col min="1" max="1" width="3.83203125" customWidth="1"/>
    <col min="2" max="2" width="71.1640625" customWidth="1"/>
    <col min="3" max="3" width="10.5" customWidth="1"/>
    <col min="4" max="4" width="6.6640625" customWidth="1"/>
    <col min="5" max="5" width="10.6640625" customWidth="1"/>
    <col min="6" max="97" width="9.1640625" customWidth="1"/>
    <col min="98" max="99" width="7.1640625" customWidth="1"/>
    <col min="100" max="100" width="5.83203125" customWidth="1"/>
    <col min="101" max="117" width="3.33203125" bestFit="1" customWidth="1"/>
    <col min="118" max="119" width="3.83203125" bestFit="1" customWidth="1"/>
    <col min="120" max="120" width="4.1640625" bestFit="1" customWidth="1"/>
    <col min="121" max="121" width="5.1640625" bestFit="1" customWidth="1"/>
    <col min="122" max="123" width="11.5" customWidth="1"/>
    <col min="124" max="124" width="11.5" style="93" customWidth="1"/>
    <col min="125" max="125" width="11" customWidth="1"/>
  </cols>
  <sheetData>
    <row r="1" spans="2:125" ht="16" thickBot="1" x14ac:dyDescent="0.25"/>
    <row r="2" spans="2:125" ht="21.75" customHeight="1" thickBot="1" x14ac:dyDescent="0.25">
      <c r="B2" s="103" t="s">
        <v>203</v>
      </c>
      <c r="C2" s="94"/>
      <c r="D2" s="192" t="s">
        <v>201</v>
      </c>
      <c r="E2" s="177">
        <v>45684</v>
      </c>
      <c r="F2" s="174">
        <v>45685</v>
      </c>
      <c r="G2" s="174">
        <v>45686</v>
      </c>
      <c r="H2" s="174">
        <v>45687</v>
      </c>
      <c r="I2" s="174">
        <v>45688</v>
      </c>
      <c r="J2" s="174">
        <v>45689</v>
      </c>
      <c r="K2" s="174">
        <v>45690</v>
      </c>
      <c r="L2" s="174">
        <v>45691</v>
      </c>
      <c r="M2" s="174">
        <v>45692</v>
      </c>
      <c r="N2" s="174">
        <v>45693</v>
      </c>
      <c r="O2" s="174">
        <v>45694</v>
      </c>
      <c r="P2" s="174">
        <v>45695</v>
      </c>
      <c r="Q2" s="174">
        <v>45696</v>
      </c>
      <c r="R2" s="174">
        <v>45697</v>
      </c>
      <c r="S2" s="174">
        <v>45698</v>
      </c>
      <c r="T2" s="174">
        <v>45699</v>
      </c>
      <c r="U2" s="174">
        <v>45700</v>
      </c>
      <c r="V2" s="174">
        <v>45701</v>
      </c>
      <c r="W2" s="174">
        <v>45702</v>
      </c>
      <c r="X2" s="174">
        <v>45703</v>
      </c>
      <c r="Y2" s="174">
        <v>45704</v>
      </c>
      <c r="Z2" s="174">
        <v>45705</v>
      </c>
      <c r="AA2" s="174">
        <v>45706</v>
      </c>
      <c r="AB2" s="174">
        <v>45707</v>
      </c>
      <c r="AC2" s="174">
        <v>45708</v>
      </c>
      <c r="AD2" s="174">
        <v>45709</v>
      </c>
      <c r="AE2" s="174">
        <v>45710</v>
      </c>
      <c r="AF2" s="174">
        <v>45711</v>
      </c>
      <c r="AG2" s="174">
        <v>45712</v>
      </c>
      <c r="AH2" s="174">
        <v>45713</v>
      </c>
      <c r="AI2" s="174">
        <v>45714</v>
      </c>
      <c r="AJ2" s="174">
        <v>45715</v>
      </c>
      <c r="AK2" s="174">
        <v>45716</v>
      </c>
      <c r="AL2" s="174">
        <v>45717</v>
      </c>
      <c r="AM2" s="174">
        <v>45718</v>
      </c>
      <c r="AN2" s="174">
        <v>45719</v>
      </c>
      <c r="AO2" s="174">
        <v>45720</v>
      </c>
      <c r="AP2" s="174">
        <v>45721</v>
      </c>
      <c r="AQ2" s="174">
        <v>45722</v>
      </c>
      <c r="AR2" s="174">
        <v>45723</v>
      </c>
      <c r="AS2" s="174">
        <v>45724</v>
      </c>
      <c r="AT2" s="174">
        <v>45725</v>
      </c>
      <c r="AU2" s="174">
        <v>45726</v>
      </c>
      <c r="AV2" s="174">
        <v>45727</v>
      </c>
      <c r="AW2" s="174">
        <v>45728</v>
      </c>
      <c r="AX2" s="174">
        <v>45729</v>
      </c>
      <c r="AY2" s="174">
        <v>45730</v>
      </c>
      <c r="AZ2" s="174">
        <v>45731</v>
      </c>
      <c r="BA2" s="174">
        <v>45732</v>
      </c>
      <c r="BB2" s="174">
        <v>45733</v>
      </c>
      <c r="BC2" s="174">
        <v>45734</v>
      </c>
      <c r="BD2" s="174">
        <v>45735</v>
      </c>
      <c r="BE2" s="174">
        <v>45736</v>
      </c>
      <c r="BF2" s="174">
        <v>45737</v>
      </c>
      <c r="BG2" s="174">
        <v>45738</v>
      </c>
      <c r="BH2" s="174">
        <v>45739</v>
      </c>
      <c r="BI2" s="174">
        <v>45740</v>
      </c>
      <c r="BJ2" s="174">
        <v>45741</v>
      </c>
      <c r="BK2" s="174">
        <v>45742</v>
      </c>
      <c r="BL2" s="174">
        <v>45743</v>
      </c>
      <c r="BM2" s="174">
        <v>45744</v>
      </c>
      <c r="BN2" s="174">
        <v>45745</v>
      </c>
      <c r="BO2" s="174">
        <v>45746</v>
      </c>
      <c r="BP2" s="174">
        <v>45747</v>
      </c>
      <c r="BQ2" s="174">
        <v>45748</v>
      </c>
      <c r="BR2" s="174">
        <v>45749</v>
      </c>
      <c r="BS2" s="174">
        <v>45750</v>
      </c>
      <c r="BT2" s="174">
        <v>45751</v>
      </c>
      <c r="BU2" s="174">
        <v>45752</v>
      </c>
      <c r="BV2" s="174">
        <v>45753</v>
      </c>
      <c r="BW2" s="174">
        <v>45754</v>
      </c>
      <c r="BX2" s="174">
        <v>45755</v>
      </c>
      <c r="BY2" s="174">
        <v>45756</v>
      </c>
      <c r="BZ2" s="174">
        <v>45757</v>
      </c>
      <c r="CA2" s="174">
        <v>45758</v>
      </c>
      <c r="CB2" s="174">
        <v>45759</v>
      </c>
      <c r="CC2" s="174">
        <v>45760</v>
      </c>
      <c r="CD2" s="174">
        <v>45761</v>
      </c>
      <c r="CE2" s="174">
        <v>45762</v>
      </c>
      <c r="CF2" s="174">
        <v>45763</v>
      </c>
      <c r="CG2" s="174">
        <v>45764</v>
      </c>
      <c r="CH2" s="174">
        <v>45765</v>
      </c>
      <c r="CI2" s="174">
        <v>45766</v>
      </c>
      <c r="CJ2" s="174">
        <v>45767</v>
      </c>
      <c r="CK2" s="174">
        <v>45768</v>
      </c>
      <c r="CL2" s="174">
        <v>45769</v>
      </c>
      <c r="CM2" s="174">
        <v>45770</v>
      </c>
      <c r="CN2" s="174">
        <v>45771</v>
      </c>
      <c r="CO2" s="174">
        <v>45772</v>
      </c>
      <c r="CP2" s="174">
        <v>45773</v>
      </c>
      <c r="CQ2" s="174">
        <v>45774</v>
      </c>
      <c r="CR2" s="174">
        <v>45775</v>
      </c>
      <c r="CS2" s="174">
        <v>45776</v>
      </c>
      <c r="CT2" s="174">
        <v>45777</v>
      </c>
      <c r="CU2" s="174">
        <v>45778</v>
      </c>
      <c r="CV2" s="174">
        <v>45779</v>
      </c>
      <c r="CW2" s="174">
        <v>45780</v>
      </c>
      <c r="CX2" s="174">
        <v>45781</v>
      </c>
      <c r="CY2" s="174">
        <v>45782</v>
      </c>
      <c r="CZ2" s="174">
        <v>45783</v>
      </c>
      <c r="DA2" s="174">
        <v>45784</v>
      </c>
      <c r="DB2" s="174">
        <v>45785</v>
      </c>
      <c r="DC2" s="174">
        <v>45786</v>
      </c>
      <c r="DD2" s="174">
        <v>45787</v>
      </c>
      <c r="DE2" s="174">
        <v>45788</v>
      </c>
      <c r="DF2" s="174">
        <v>45789</v>
      </c>
      <c r="DG2" s="174">
        <v>45790</v>
      </c>
      <c r="DH2" s="174">
        <v>45791</v>
      </c>
      <c r="DI2" s="174">
        <v>45792</v>
      </c>
      <c r="DJ2" s="174">
        <v>45793</v>
      </c>
      <c r="DK2" s="174">
        <v>45794</v>
      </c>
      <c r="DL2" s="174">
        <v>45795</v>
      </c>
      <c r="DM2" s="174">
        <v>45796</v>
      </c>
      <c r="DN2" s="174">
        <v>45797</v>
      </c>
      <c r="DO2" s="174">
        <v>45798</v>
      </c>
      <c r="DP2" s="174">
        <v>45799</v>
      </c>
      <c r="DQ2" s="186">
        <v>45800</v>
      </c>
      <c r="DR2" s="180" t="s">
        <v>375</v>
      </c>
      <c r="DS2" s="180" t="s">
        <v>376</v>
      </c>
      <c r="DT2" s="183" t="s">
        <v>377</v>
      </c>
      <c r="DU2" s="189" t="s">
        <v>374</v>
      </c>
    </row>
    <row r="3" spans="2:125" ht="18.75" customHeight="1" x14ac:dyDescent="0.2">
      <c r="B3" s="96" t="s">
        <v>363</v>
      </c>
      <c r="C3" s="95"/>
      <c r="D3" s="193"/>
      <c r="E3" s="178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5"/>
      <c r="CH3" s="175"/>
      <c r="CI3" s="175"/>
      <c r="CJ3" s="175"/>
      <c r="CK3" s="175"/>
      <c r="CL3" s="175"/>
      <c r="CM3" s="175"/>
      <c r="CN3" s="175"/>
      <c r="CO3" s="175"/>
      <c r="CP3" s="175"/>
      <c r="CQ3" s="175"/>
      <c r="CR3" s="175"/>
      <c r="CS3" s="175"/>
      <c r="CT3" s="175"/>
      <c r="CU3" s="175"/>
      <c r="CV3" s="175"/>
      <c r="CW3" s="175"/>
      <c r="CX3" s="175"/>
      <c r="CY3" s="175"/>
      <c r="CZ3" s="175"/>
      <c r="DA3" s="175"/>
      <c r="DB3" s="175"/>
      <c r="DC3" s="175"/>
      <c r="DD3" s="175"/>
      <c r="DE3" s="175"/>
      <c r="DF3" s="175"/>
      <c r="DG3" s="175"/>
      <c r="DH3" s="175"/>
      <c r="DI3" s="175"/>
      <c r="DJ3" s="175"/>
      <c r="DK3" s="175"/>
      <c r="DL3" s="175"/>
      <c r="DM3" s="175"/>
      <c r="DN3" s="175"/>
      <c r="DO3" s="175"/>
      <c r="DP3" s="175"/>
      <c r="DQ3" s="187"/>
      <c r="DR3" s="181"/>
      <c r="DS3" s="181"/>
      <c r="DT3" s="184"/>
      <c r="DU3" s="190"/>
    </row>
    <row r="4" spans="2:125" ht="24" customHeight="1" thickBot="1" x14ac:dyDescent="0.25">
      <c r="B4" s="97" t="s">
        <v>364</v>
      </c>
      <c r="C4" s="62"/>
      <c r="D4" s="194"/>
      <c r="E4" s="179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  <c r="CO4" s="176"/>
      <c r="CP4" s="176"/>
      <c r="CQ4" s="176"/>
      <c r="CR4" s="176"/>
      <c r="CS4" s="176"/>
      <c r="CT4" s="176"/>
      <c r="CU4" s="176"/>
      <c r="CV4" s="176"/>
      <c r="CW4" s="176"/>
      <c r="CX4" s="176"/>
      <c r="CY4" s="176"/>
      <c r="CZ4" s="176"/>
      <c r="DA4" s="176"/>
      <c r="DB4" s="176"/>
      <c r="DC4" s="176"/>
      <c r="DD4" s="176"/>
      <c r="DE4" s="176"/>
      <c r="DF4" s="176"/>
      <c r="DG4" s="176"/>
      <c r="DH4" s="176"/>
      <c r="DI4" s="176"/>
      <c r="DJ4" s="176"/>
      <c r="DK4" s="176"/>
      <c r="DL4" s="176"/>
      <c r="DM4" s="176"/>
      <c r="DN4" s="176"/>
      <c r="DO4" s="176"/>
      <c r="DP4" s="176"/>
      <c r="DQ4" s="188"/>
      <c r="DR4" s="182"/>
      <c r="DS4" s="182"/>
      <c r="DT4" s="185"/>
      <c r="DU4" s="191"/>
    </row>
    <row r="5" spans="2:125" ht="30" x14ac:dyDescent="0.2">
      <c r="B5" s="98" t="s">
        <v>365</v>
      </c>
      <c r="C5" s="67" t="s">
        <v>39</v>
      </c>
      <c r="D5" s="31">
        <v>22.45</v>
      </c>
      <c r="E5" s="31">
        <v>2.2000000000000002</v>
      </c>
      <c r="F5" s="31">
        <v>0.6</v>
      </c>
      <c r="G5" s="31">
        <v>2.06</v>
      </c>
      <c r="H5" s="31">
        <v>2</v>
      </c>
      <c r="I5" s="31"/>
      <c r="J5" s="31"/>
      <c r="K5" s="31"/>
      <c r="L5" s="31"/>
      <c r="M5" s="31"/>
      <c r="N5" s="31"/>
      <c r="O5" s="31"/>
      <c r="P5" s="31">
        <v>2</v>
      </c>
      <c r="Q5" s="31">
        <v>2</v>
      </c>
      <c r="R5" s="31">
        <v>2</v>
      </c>
      <c r="S5" s="31">
        <v>2</v>
      </c>
      <c r="T5" s="31">
        <v>3.97</v>
      </c>
      <c r="U5" s="31">
        <v>2.73</v>
      </c>
      <c r="V5" s="31">
        <v>2.19</v>
      </c>
      <c r="W5" s="31">
        <v>2.7</v>
      </c>
      <c r="X5" s="31"/>
      <c r="Y5" s="31">
        <v>3.1</v>
      </c>
      <c r="Z5" s="31">
        <v>2.7</v>
      </c>
      <c r="AA5" s="31">
        <v>4.2</v>
      </c>
      <c r="AB5" s="31"/>
      <c r="AC5" s="31"/>
      <c r="AD5" s="31"/>
      <c r="AE5" s="31">
        <v>0.90400000000000003</v>
      </c>
      <c r="AF5" s="31">
        <v>0.53</v>
      </c>
      <c r="AG5" s="31">
        <v>0.51</v>
      </c>
      <c r="AH5" s="31">
        <v>0.4</v>
      </c>
      <c r="AI5" s="31">
        <v>0.3</v>
      </c>
      <c r="AJ5" s="31">
        <v>0.8</v>
      </c>
      <c r="AK5" s="31">
        <v>0.5</v>
      </c>
      <c r="AL5" s="31">
        <v>3</v>
      </c>
      <c r="AM5" s="31">
        <v>3</v>
      </c>
      <c r="AN5" s="31">
        <v>3.2</v>
      </c>
      <c r="AO5" s="31">
        <v>0.94</v>
      </c>
      <c r="AP5" s="31">
        <v>0.35</v>
      </c>
      <c r="AQ5" s="31">
        <v>0.35</v>
      </c>
      <c r="AR5" s="31">
        <v>0.55000000000000004</v>
      </c>
      <c r="AS5" s="31">
        <v>1.6</v>
      </c>
      <c r="AT5" s="31">
        <v>0.5</v>
      </c>
      <c r="AU5" s="31">
        <v>1.85</v>
      </c>
      <c r="AV5" s="31">
        <v>0.97</v>
      </c>
      <c r="AW5" s="31">
        <v>1</v>
      </c>
      <c r="AX5" s="31">
        <v>1</v>
      </c>
      <c r="AY5" s="31">
        <v>2</v>
      </c>
      <c r="AZ5" s="31">
        <v>1.83</v>
      </c>
      <c r="BA5" s="31">
        <v>2.9</v>
      </c>
      <c r="BB5" s="31">
        <v>5.2</v>
      </c>
      <c r="BC5" s="31">
        <v>5.3</v>
      </c>
      <c r="BD5" s="31">
        <v>5.2</v>
      </c>
      <c r="BE5" s="31">
        <v>5.9</v>
      </c>
      <c r="BF5" s="31">
        <v>2.8</v>
      </c>
      <c r="BG5" s="31">
        <v>2.9</v>
      </c>
      <c r="BH5" s="31">
        <v>3.1</v>
      </c>
      <c r="BI5" s="31">
        <v>2.52</v>
      </c>
      <c r="BJ5" s="31">
        <v>4.82</v>
      </c>
      <c r="BK5" s="32"/>
      <c r="BL5" s="32"/>
      <c r="BM5" s="32"/>
      <c r="BN5" s="32"/>
      <c r="BO5" s="32"/>
      <c r="BP5" s="32"/>
      <c r="BQ5" s="33">
        <v>0.7</v>
      </c>
      <c r="BR5" s="33">
        <v>2.2400000000000002</v>
      </c>
      <c r="BS5" s="33">
        <v>2.52</v>
      </c>
      <c r="BT5" s="33">
        <v>1.96</v>
      </c>
      <c r="BU5" s="33">
        <v>3.81</v>
      </c>
      <c r="BV5" s="33">
        <v>6.36</v>
      </c>
      <c r="BW5" s="33">
        <v>4.6900000000000004</v>
      </c>
      <c r="BX5" s="33">
        <v>2.93</v>
      </c>
      <c r="BY5" s="33">
        <v>3.5</v>
      </c>
      <c r="BZ5" s="33">
        <v>3.2</v>
      </c>
      <c r="CA5" s="33">
        <v>4.18</v>
      </c>
      <c r="CB5" s="33">
        <v>3.84</v>
      </c>
      <c r="CC5" s="33">
        <v>0.95</v>
      </c>
      <c r="CD5" s="33">
        <v>1.68</v>
      </c>
      <c r="CE5" s="33">
        <v>2.58</v>
      </c>
      <c r="CF5" s="33">
        <v>2.42</v>
      </c>
      <c r="CG5" s="33">
        <v>2.64</v>
      </c>
      <c r="CH5" s="33">
        <v>4.0999999999999996</v>
      </c>
      <c r="CI5" s="33">
        <v>5.28</v>
      </c>
      <c r="CJ5" s="33">
        <v>5.37</v>
      </c>
      <c r="CK5" s="33">
        <v>3.03</v>
      </c>
      <c r="CL5" s="33">
        <v>3.65</v>
      </c>
      <c r="CM5" s="33">
        <v>1.61</v>
      </c>
      <c r="CN5" s="33">
        <v>1.8</v>
      </c>
      <c r="CO5" s="33">
        <v>1</v>
      </c>
      <c r="CP5" s="33">
        <v>0.5</v>
      </c>
      <c r="CQ5" s="33">
        <v>1.19</v>
      </c>
      <c r="CR5" s="33">
        <v>1</v>
      </c>
      <c r="CS5" s="33">
        <v>0.87</v>
      </c>
      <c r="CT5" s="33"/>
      <c r="CU5" s="33">
        <v>1.52</v>
      </c>
      <c r="CV5" s="33">
        <v>1.52</v>
      </c>
      <c r="CW5" s="33">
        <v>1.69</v>
      </c>
      <c r="CX5" s="33">
        <v>0.7</v>
      </c>
      <c r="CY5" s="33">
        <v>1.17</v>
      </c>
      <c r="CZ5" s="33">
        <v>4.2699999999999996</v>
      </c>
      <c r="DA5" s="33">
        <v>4.46</v>
      </c>
      <c r="DB5" s="33">
        <v>2.6</v>
      </c>
      <c r="DC5" s="33">
        <v>2.2000000000000002</v>
      </c>
      <c r="DD5" s="33">
        <v>4.76</v>
      </c>
      <c r="DE5" s="33">
        <v>2.2000000000000002</v>
      </c>
      <c r="DF5" s="33">
        <v>2.8</v>
      </c>
      <c r="DG5" s="58"/>
      <c r="DH5" s="58"/>
      <c r="DI5" s="58"/>
      <c r="DJ5" s="58"/>
      <c r="DK5" s="58"/>
      <c r="DL5" s="58"/>
      <c r="DM5" s="58"/>
      <c r="DN5" s="58">
        <v>5</v>
      </c>
      <c r="DO5" s="119">
        <v>4.0110000000000001</v>
      </c>
      <c r="DP5" s="58">
        <v>1.8</v>
      </c>
      <c r="DQ5" s="58">
        <v>2.15</v>
      </c>
      <c r="DR5" s="104">
        <f>SUM(D5:DQ5)</f>
        <v>248.07500000000002</v>
      </c>
      <c r="DS5" s="109">
        <f>DU5-DR5</f>
        <v>657.12699999999995</v>
      </c>
      <c r="DT5" s="114">
        <f>DR5/DU5</f>
        <v>0.27405485184522349</v>
      </c>
      <c r="DU5" s="110">
        <f>483.85+59.7+258.392+82.23+5.75+15.28</f>
        <v>905.202</v>
      </c>
    </row>
    <row r="6" spans="2:125" x14ac:dyDescent="0.2">
      <c r="B6" s="99" t="s">
        <v>225</v>
      </c>
      <c r="C6" s="71"/>
      <c r="D6" s="65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105"/>
      <c r="DS6" s="105"/>
      <c r="DT6" s="115"/>
      <c r="DU6" s="111"/>
    </row>
    <row r="7" spans="2:125" x14ac:dyDescent="0.2">
      <c r="B7" s="100" t="s">
        <v>380</v>
      </c>
      <c r="C7" s="68" t="s">
        <v>39</v>
      </c>
      <c r="D7" s="63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106"/>
      <c r="DS7" s="106"/>
      <c r="DT7" s="116"/>
      <c r="DU7" s="112">
        <v>192</v>
      </c>
    </row>
    <row r="8" spans="2:125" x14ac:dyDescent="0.2">
      <c r="B8" s="100" t="s">
        <v>373</v>
      </c>
      <c r="C8" s="68" t="s">
        <v>39</v>
      </c>
      <c r="D8" s="63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106"/>
      <c r="DS8" s="106"/>
      <c r="DT8" s="116"/>
      <c r="DU8" s="112">
        <v>265</v>
      </c>
    </row>
    <row r="9" spans="2:125" x14ac:dyDescent="0.2">
      <c r="B9" s="101" t="s">
        <v>249</v>
      </c>
      <c r="C9" s="68" t="s">
        <v>39</v>
      </c>
      <c r="D9" s="63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106"/>
      <c r="DS9" s="106"/>
      <c r="DT9" s="116"/>
      <c r="DU9" s="112">
        <v>293</v>
      </c>
    </row>
    <row r="10" spans="2:125" x14ac:dyDescent="0.2">
      <c r="B10" s="101" t="s">
        <v>259</v>
      </c>
      <c r="C10" s="68" t="s">
        <v>39</v>
      </c>
      <c r="D10" s="63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106"/>
      <c r="DS10" s="106"/>
      <c r="DT10" s="116"/>
      <c r="DU10" s="112">
        <v>348</v>
      </c>
    </row>
    <row r="11" spans="2:125" x14ac:dyDescent="0.2">
      <c r="B11" s="100" t="s">
        <v>372</v>
      </c>
      <c r="C11" s="68" t="s">
        <v>39</v>
      </c>
      <c r="D11" s="63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106"/>
      <c r="DS11" s="106"/>
      <c r="DT11" s="116"/>
      <c r="DU11" s="112">
        <v>310</v>
      </c>
    </row>
    <row r="12" spans="2:125" x14ac:dyDescent="0.2">
      <c r="B12" s="100" t="s">
        <v>366</v>
      </c>
      <c r="C12" s="70" t="s">
        <v>39</v>
      </c>
      <c r="D12" s="64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107"/>
      <c r="DS12" s="107"/>
      <c r="DT12" s="117"/>
      <c r="DU12" s="112">
        <v>310</v>
      </c>
    </row>
    <row r="13" spans="2:125" x14ac:dyDescent="0.2">
      <c r="B13" s="100" t="s">
        <v>367</v>
      </c>
      <c r="C13" s="68" t="s">
        <v>39</v>
      </c>
      <c r="D13" s="63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106"/>
      <c r="DS13" s="106"/>
      <c r="DT13" s="116"/>
      <c r="DU13" s="112">
        <v>317.3</v>
      </c>
    </row>
    <row r="14" spans="2:125" x14ac:dyDescent="0.2">
      <c r="B14" s="100" t="s">
        <v>368</v>
      </c>
      <c r="C14" s="68" t="s">
        <v>39</v>
      </c>
      <c r="D14" s="63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 t="s">
        <v>199</v>
      </c>
      <c r="DQ14" s="55"/>
      <c r="DR14" s="106"/>
      <c r="DS14" s="106"/>
      <c r="DT14" s="116"/>
      <c r="DU14" s="112">
        <v>310</v>
      </c>
    </row>
    <row r="15" spans="2:125" x14ac:dyDescent="0.2">
      <c r="B15" s="100" t="s">
        <v>369</v>
      </c>
      <c r="C15" s="68" t="s">
        <v>39</v>
      </c>
      <c r="D15" s="63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106"/>
      <c r="DS15" s="106"/>
      <c r="DT15" s="116"/>
      <c r="DU15" s="112">
        <v>361</v>
      </c>
    </row>
    <row r="16" spans="2:125" ht="17.25" customHeight="1" x14ac:dyDescent="0.2">
      <c r="B16" s="100" t="s">
        <v>370</v>
      </c>
      <c r="C16" s="68" t="s">
        <v>39</v>
      </c>
      <c r="D16" s="63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106"/>
      <c r="DS16" s="106"/>
      <c r="DT16" s="116"/>
      <c r="DU16" s="112">
        <v>317.3</v>
      </c>
    </row>
    <row r="17" spans="2:125" x14ac:dyDescent="0.2">
      <c r="B17" s="100" t="s">
        <v>371</v>
      </c>
      <c r="C17" s="68" t="s">
        <v>39</v>
      </c>
      <c r="D17" s="63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106"/>
      <c r="DS17" s="106"/>
      <c r="DT17" s="116"/>
      <c r="DU17" s="112">
        <v>46</v>
      </c>
    </row>
    <row r="18" spans="2:125" x14ac:dyDescent="0.2">
      <c r="B18" s="100" t="s">
        <v>368</v>
      </c>
      <c r="C18" s="68" t="s">
        <v>39</v>
      </c>
      <c r="D18" s="63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106"/>
      <c r="DS18" s="106"/>
      <c r="DT18" s="116"/>
      <c r="DU18" s="112">
        <v>46</v>
      </c>
    </row>
    <row r="19" spans="2:125" x14ac:dyDescent="0.2">
      <c r="B19" s="99" t="s">
        <v>378</v>
      </c>
      <c r="C19" s="71"/>
      <c r="D19" s="65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105"/>
      <c r="DS19" s="105"/>
      <c r="DT19" s="115"/>
      <c r="DU19" s="111"/>
    </row>
    <row r="20" spans="2:125" x14ac:dyDescent="0.2">
      <c r="B20" s="101" t="s">
        <v>200</v>
      </c>
      <c r="C20" s="68" t="s">
        <v>39</v>
      </c>
      <c r="D20" s="63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106"/>
      <c r="DS20" s="106"/>
      <c r="DT20" s="116"/>
      <c r="DU20" s="112">
        <f>173+251</f>
        <v>424</v>
      </c>
    </row>
    <row r="21" spans="2:125" x14ac:dyDescent="0.2">
      <c r="B21" s="101" t="s">
        <v>381</v>
      </c>
      <c r="C21" s="68"/>
      <c r="D21" s="63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106"/>
      <c r="DS21" s="106"/>
      <c r="DT21" s="116"/>
      <c r="DU21" s="112"/>
    </row>
    <row r="22" spans="2:125" x14ac:dyDescent="0.2">
      <c r="B22" s="101" t="s">
        <v>379</v>
      </c>
      <c r="C22" s="68" t="s">
        <v>20</v>
      </c>
      <c r="D22" s="63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106"/>
      <c r="DS22" s="106"/>
      <c r="DT22" s="116"/>
      <c r="DU22" s="112"/>
    </row>
    <row r="23" spans="2:125" x14ac:dyDescent="0.2">
      <c r="B23" s="101" t="s">
        <v>249</v>
      </c>
      <c r="C23" s="68" t="s">
        <v>39</v>
      </c>
      <c r="D23" s="63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106"/>
      <c r="DS23" s="106"/>
      <c r="DT23" s="116"/>
      <c r="DU23" s="112">
        <f>1024+2040+162+1022</f>
        <v>4248</v>
      </c>
    </row>
    <row r="24" spans="2:125" x14ac:dyDescent="0.2">
      <c r="B24" s="101" t="s">
        <v>255</v>
      </c>
      <c r="C24" s="68" t="s">
        <v>39</v>
      </c>
      <c r="D24" s="63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106"/>
      <c r="DS24" s="106"/>
      <c r="DT24" s="116"/>
      <c r="DU24" s="112">
        <f>428+381</f>
        <v>809</v>
      </c>
    </row>
    <row r="25" spans="2:125" x14ac:dyDescent="0.2">
      <c r="B25" s="101" t="s">
        <v>257</v>
      </c>
      <c r="C25" s="68" t="s">
        <v>39</v>
      </c>
      <c r="D25" s="63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106"/>
      <c r="DS25" s="106"/>
      <c r="DT25" s="116"/>
      <c r="DU25" s="112">
        <f>376+381</f>
        <v>757</v>
      </c>
    </row>
    <row r="26" spans="2:125" x14ac:dyDescent="0.2">
      <c r="B26" s="101" t="s">
        <v>259</v>
      </c>
      <c r="C26" s="68" t="s">
        <v>39</v>
      </c>
      <c r="D26" s="63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106"/>
      <c r="DS26" s="106"/>
      <c r="DT26" s="116"/>
      <c r="DU26" s="112">
        <f>110+127</f>
        <v>237</v>
      </c>
    </row>
    <row r="27" spans="2:125" x14ac:dyDescent="0.2">
      <c r="B27" s="99" t="s">
        <v>348</v>
      </c>
      <c r="C27" s="71"/>
      <c r="D27" s="65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105"/>
      <c r="DS27" s="105"/>
      <c r="DT27" s="115"/>
      <c r="DU27" s="111"/>
    </row>
    <row r="28" spans="2:125" ht="16" thickBot="1" x14ac:dyDescent="0.25">
      <c r="B28" s="102" t="s">
        <v>350</v>
      </c>
      <c r="C28" s="72" t="s">
        <v>39</v>
      </c>
      <c r="D28" s="6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108"/>
      <c r="DS28" s="108"/>
      <c r="DT28" s="118"/>
      <c r="DU28" s="113">
        <v>347</v>
      </c>
    </row>
  </sheetData>
  <mergeCells count="122">
    <mergeCell ref="DR2:DR4"/>
    <mergeCell ref="DS2:DS4"/>
    <mergeCell ref="DT2:DT4"/>
    <mergeCell ref="DP2:DP4"/>
    <mergeCell ref="DQ2:DQ4"/>
    <mergeCell ref="DU2:DU4"/>
    <mergeCell ref="D2:D4"/>
    <mergeCell ref="DI2:DI4"/>
    <mergeCell ref="DJ2:DJ4"/>
    <mergeCell ref="DK2:DK4"/>
    <mergeCell ref="DL2:DL4"/>
    <mergeCell ref="DM2:DM4"/>
    <mergeCell ref="DN2:DN4"/>
    <mergeCell ref="DO2:DO4"/>
    <mergeCell ref="DC2:DC4"/>
    <mergeCell ref="DD2:DD4"/>
    <mergeCell ref="DE2:DE4"/>
    <mergeCell ref="DF2:DF4"/>
    <mergeCell ref="DG2:DG4"/>
    <mergeCell ref="DH2:DH4"/>
    <mergeCell ref="CW2:CW4"/>
    <mergeCell ref="CX2:CX4"/>
    <mergeCell ref="CY2:CY4"/>
    <mergeCell ref="CZ2:CZ4"/>
    <mergeCell ref="DA2:DA4"/>
    <mergeCell ref="DB2:DB4"/>
    <mergeCell ref="CQ2:CQ4"/>
    <mergeCell ref="CR2:CR4"/>
    <mergeCell ref="CS2:CS4"/>
    <mergeCell ref="CT2:CT4"/>
    <mergeCell ref="CU2:CU4"/>
    <mergeCell ref="CV2:CV4"/>
    <mergeCell ref="CK2:CK4"/>
    <mergeCell ref="CL2:CL4"/>
    <mergeCell ref="CM2:CM4"/>
    <mergeCell ref="CN2:CN4"/>
    <mergeCell ref="CO2:CO4"/>
    <mergeCell ref="CP2:CP4"/>
    <mergeCell ref="CE2:CE4"/>
    <mergeCell ref="CF2:CF4"/>
    <mergeCell ref="CG2:CG4"/>
    <mergeCell ref="CH2:CH4"/>
    <mergeCell ref="CI2:CI4"/>
    <mergeCell ref="CJ2:CJ4"/>
    <mergeCell ref="BY2:BY4"/>
    <mergeCell ref="BZ2:BZ4"/>
    <mergeCell ref="CA2:CA4"/>
    <mergeCell ref="CB2:CB4"/>
    <mergeCell ref="CC2:CC4"/>
    <mergeCell ref="CD2:CD4"/>
    <mergeCell ref="BS2:BS4"/>
    <mergeCell ref="BT2:BT4"/>
    <mergeCell ref="BU2:BU4"/>
    <mergeCell ref="BV2:BV4"/>
    <mergeCell ref="BW2:BW4"/>
    <mergeCell ref="BX2:BX4"/>
    <mergeCell ref="BM2:BM4"/>
    <mergeCell ref="BN2:BN4"/>
    <mergeCell ref="BO2:BO4"/>
    <mergeCell ref="BP2:BP4"/>
    <mergeCell ref="BQ2:BQ4"/>
    <mergeCell ref="BR2:BR4"/>
    <mergeCell ref="BG2:BG4"/>
    <mergeCell ref="BH2:BH4"/>
    <mergeCell ref="BI2:BI4"/>
    <mergeCell ref="BJ2:BJ4"/>
    <mergeCell ref="BK2:BK4"/>
    <mergeCell ref="BL2:BL4"/>
    <mergeCell ref="BA2:BA4"/>
    <mergeCell ref="BB2:BB4"/>
    <mergeCell ref="BC2:BC4"/>
    <mergeCell ref="BD2:BD4"/>
    <mergeCell ref="BE2:BE4"/>
    <mergeCell ref="BF2:BF4"/>
    <mergeCell ref="AU2:AU4"/>
    <mergeCell ref="AV2:AV4"/>
    <mergeCell ref="AW2:AW4"/>
    <mergeCell ref="AX2:AX4"/>
    <mergeCell ref="AY2:AY4"/>
    <mergeCell ref="AZ2:AZ4"/>
    <mergeCell ref="AO2:AO4"/>
    <mergeCell ref="AP2:AP4"/>
    <mergeCell ref="AQ2:AQ4"/>
    <mergeCell ref="AR2:AR4"/>
    <mergeCell ref="AS2:AS4"/>
    <mergeCell ref="AT2:AT4"/>
    <mergeCell ref="AI2:AI4"/>
    <mergeCell ref="AJ2:AJ4"/>
    <mergeCell ref="AK2:AK4"/>
    <mergeCell ref="AL2:AL4"/>
    <mergeCell ref="AM2:AM4"/>
    <mergeCell ref="AN2:AN4"/>
    <mergeCell ref="AC2:AC4"/>
    <mergeCell ref="AD2:AD4"/>
    <mergeCell ref="AE2:AE4"/>
    <mergeCell ref="AF2:AF4"/>
    <mergeCell ref="AG2:AG4"/>
    <mergeCell ref="AH2:AH4"/>
    <mergeCell ref="W2:W4"/>
    <mergeCell ref="X2:X4"/>
    <mergeCell ref="Y2:Y4"/>
    <mergeCell ref="Z2:Z4"/>
    <mergeCell ref="AA2:AA4"/>
    <mergeCell ref="AB2:AB4"/>
    <mergeCell ref="Q2:Q4"/>
    <mergeCell ref="R2:R4"/>
    <mergeCell ref="S2:S4"/>
    <mergeCell ref="T2:T4"/>
    <mergeCell ref="U2:U4"/>
    <mergeCell ref="V2:V4"/>
    <mergeCell ref="K2:K4"/>
    <mergeCell ref="L2:L4"/>
    <mergeCell ref="M2:M4"/>
    <mergeCell ref="N2:N4"/>
    <mergeCell ref="O2:O4"/>
    <mergeCell ref="P2:P4"/>
    <mergeCell ref="E2:E4"/>
    <mergeCell ref="F2:F4"/>
    <mergeCell ref="G2:G4"/>
    <mergeCell ref="H2:H4"/>
    <mergeCell ref="I2:I4"/>
    <mergeCell ref="J2:J4"/>
  </mergeCells>
  <conditionalFormatting sqref="B3:C4 B5:DU28">
    <cfRule type="expression" priority="11">
      <formula>#REF!=TODAY()</formula>
    </cfRule>
  </conditionalFormatting>
  <conditionalFormatting sqref="B2:DU2">
    <cfRule type="expression" priority="128">
      <formula>#REF!=TODAY()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B1:DS103"/>
  <sheetViews>
    <sheetView workbookViewId="0">
      <pane ySplit="4" topLeftCell="A92" activePane="bottomLeft" state="frozen"/>
      <selection activeCell="H51" sqref="H51:M51"/>
      <selection pane="bottomLeft" activeCell="DS97" sqref="DS97"/>
    </sheetView>
  </sheetViews>
  <sheetFormatPr baseColWidth="10" defaultColWidth="8.83203125" defaultRowHeight="15" x14ac:dyDescent="0.2"/>
  <cols>
    <col min="1" max="1" width="3.83203125" customWidth="1"/>
    <col min="2" max="2" width="12.83203125" customWidth="1"/>
    <col min="3" max="3" width="69.5" customWidth="1"/>
    <col min="4" max="4" width="7.83203125" customWidth="1"/>
    <col min="5" max="5" width="6.33203125" customWidth="1"/>
    <col min="6" max="10" width="6.33203125" hidden="1" customWidth="1"/>
    <col min="11" max="118" width="6" hidden="1" customWidth="1"/>
    <col min="119" max="122" width="6" customWidth="1"/>
    <col min="123" max="123" width="13.6640625" customWidth="1"/>
  </cols>
  <sheetData>
    <row r="1" spans="2:123" ht="16" thickBot="1" x14ac:dyDescent="0.25"/>
    <row r="2" spans="2:123" ht="25.5" customHeight="1" thickBot="1" x14ac:dyDescent="0.25">
      <c r="B2" s="52">
        <v>4</v>
      </c>
      <c r="C2" s="53" t="s">
        <v>203</v>
      </c>
      <c r="D2" s="80"/>
      <c r="E2" s="192" t="s">
        <v>201</v>
      </c>
      <c r="F2" s="177">
        <v>45684</v>
      </c>
      <c r="G2" s="177">
        <v>45685</v>
      </c>
      <c r="H2" s="177">
        <v>45686</v>
      </c>
      <c r="I2" s="177">
        <v>45687</v>
      </c>
      <c r="J2" s="177">
        <v>45688</v>
      </c>
      <c r="K2" s="177">
        <v>45689</v>
      </c>
      <c r="L2" s="177">
        <v>45690</v>
      </c>
      <c r="M2" s="177">
        <v>45691</v>
      </c>
      <c r="N2" s="177">
        <v>45692</v>
      </c>
      <c r="O2" s="177">
        <v>45693</v>
      </c>
      <c r="P2" s="177">
        <v>45694</v>
      </c>
      <c r="Q2" s="177">
        <v>45695</v>
      </c>
      <c r="R2" s="177">
        <v>45696</v>
      </c>
      <c r="S2" s="177">
        <v>45697</v>
      </c>
      <c r="T2" s="177">
        <v>45698</v>
      </c>
      <c r="U2" s="177">
        <v>45699</v>
      </c>
      <c r="V2" s="177">
        <v>45700</v>
      </c>
      <c r="W2" s="177">
        <v>45701</v>
      </c>
      <c r="X2" s="177">
        <v>45702</v>
      </c>
      <c r="Y2" s="177">
        <v>45703</v>
      </c>
      <c r="Z2" s="177">
        <v>45704</v>
      </c>
      <c r="AA2" s="177">
        <v>45705</v>
      </c>
      <c r="AB2" s="177">
        <v>45706</v>
      </c>
      <c r="AC2" s="177">
        <v>45707</v>
      </c>
      <c r="AD2" s="177">
        <v>45708</v>
      </c>
      <c r="AE2" s="177">
        <v>45709</v>
      </c>
      <c r="AF2" s="177">
        <v>45710</v>
      </c>
      <c r="AG2" s="177">
        <v>45711</v>
      </c>
      <c r="AH2" s="177">
        <v>45712</v>
      </c>
      <c r="AI2" s="177">
        <v>45713</v>
      </c>
      <c r="AJ2" s="177">
        <v>45714</v>
      </c>
      <c r="AK2" s="177">
        <v>45715</v>
      </c>
      <c r="AL2" s="177">
        <v>45716</v>
      </c>
      <c r="AM2" s="177">
        <v>45717</v>
      </c>
      <c r="AN2" s="177">
        <v>45718</v>
      </c>
      <c r="AO2" s="177">
        <v>45719</v>
      </c>
      <c r="AP2" s="177">
        <v>45720</v>
      </c>
      <c r="AQ2" s="177">
        <v>45721</v>
      </c>
      <c r="AR2" s="177">
        <v>45722</v>
      </c>
      <c r="AS2" s="177">
        <v>45723</v>
      </c>
      <c r="AT2" s="177">
        <v>45724</v>
      </c>
      <c r="AU2" s="177">
        <v>45725</v>
      </c>
      <c r="AV2" s="177">
        <v>45726</v>
      </c>
      <c r="AW2" s="177">
        <v>45727</v>
      </c>
      <c r="AX2" s="177">
        <v>45728</v>
      </c>
      <c r="AY2" s="177">
        <v>45729</v>
      </c>
      <c r="AZ2" s="177">
        <v>45730</v>
      </c>
      <c r="BA2" s="177">
        <v>45731</v>
      </c>
      <c r="BB2" s="177">
        <v>45732</v>
      </c>
      <c r="BC2" s="177">
        <v>45733</v>
      </c>
      <c r="BD2" s="177">
        <v>45734</v>
      </c>
      <c r="BE2" s="177">
        <v>45735</v>
      </c>
      <c r="BF2" s="177">
        <v>45736</v>
      </c>
      <c r="BG2" s="177">
        <v>45737</v>
      </c>
      <c r="BH2" s="177">
        <v>45738</v>
      </c>
      <c r="BI2" s="177">
        <v>45739</v>
      </c>
      <c r="BJ2" s="177">
        <v>45740</v>
      </c>
      <c r="BK2" s="177">
        <v>45741</v>
      </c>
      <c r="BL2" s="177">
        <v>45742</v>
      </c>
      <c r="BM2" s="177">
        <v>45743</v>
      </c>
      <c r="BN2" s="177">
        <v>45744</v>
      </c>
      <c r="BO2" s="177">
        <v>45745</v>
      </c>
      <c r="BP2" s="177">
        <v>45746</v>
      </c>
      <c r="BQ2" s="177">
        <v>45747</v>
      </c>
      <c r="BR2" s="177">
        <v>45748</v>
      </c>
      <c r="BS2" s="177">
        <v>45749</v>
      </c>
      <c r="BT2" s="177">
        <v>45750</v>
      </c>
      <c r="BU2" s="177">
        <v>45751</v>
      </c>
      <c r="BV2" s="177">
        <v>45752</v>
      </c>
      <c r="BW2" s="177">
        <v>45753</v>
      </c>
      <c r="BX2" s="177">
        <v>45754</v>
      </c>
      <c r="BY2" s="177">
        <v>45755</v>
      </c>
      <c r="BZ2" s="177">
        <v>45756</v>
      </c>
      <c r="CA2" s="177">
        <v>45757</v>
      </c>
      <c r="CB2" s="177">
        <v>45758</v>
      </c>
      <c r="CC2" s="177">
        <v>45759</v>
      </c>
      <c r="CD2" s="177">
        <v>45760</v>
      </c>
      <c r="CE2" s="177">
        <v>45761</v>
      </c>
      <c r="CF2" s="177">
        <v>45762</v>
      </c>
      <c r="CG2" s="177">
        <v>45763</v>
      </c>
      <c r="CH2" s="177">
        <v>45764</v>
      </c>
      <c r="CI2" s="177">
        <v>45765</v>
      </c>
      <c r="CJ2" s="177">
        <v>45766</v>
      </c>
      <c r="CK2" s="177">
        <v>45767</v>
      </c>
      <c r="CL2" s="177">
        <v>45768</v>
      </c>
      <c r="CM2" s="177">
        <v>45769</v>
      </c>
      <c r="CN2" s="177">
        <v>45770</v>
      </c>
      <c r="CO2" s="177">
        <v>45771</v>
      </c>
      <c r="CP2" s="177">
        <v>45772</v>
      </c>
      <c r="CQ2" s="177">
        <v>45773</v>
      </c>
      <c r="CR2" s="177">
        <v>45774</v>
      </c>
      <c r="CS2" s="177">
        <v>45775</v>
      </c>
      <c r="CT2" s="177">
        <v>45776</v>
      </c>
      <c r="CU2" s="177">
        <v>45777</v>
      </c>
      <c r="CV2" s="177">
        <v>45778</v>
      </c>
      <c r="CW2" s="177">
        <v>45779</v>
      </c>
      <c r="CX2" s="177">
        <v>45780</v>
      </c>
      <c r="CY2" s="177">
        <v>45781</v>
      </c>
      <c r="CZ2" s="177">
        <v>45782</v>
      </c>
      <c r="DA2" s="177">
        <v>45783</v>
      </c>
      <c r="DB2" s="177">
        <v>45784</v>
      </c>
      <c r="DC2" s="177">
        <v>45785</v>
      </c>
      <c r="DD2" s="177">
        <v>45786</v>
      </c>
      <c r="DE2" s="177">
        <v>45787</v>
      </c>
      <c r="DF2" s="177">
        <v>45788</v>
      </c>
      <c r="DG2" s="177">
        <v>45789</v>
      </c>
      <c r="DH2" s="177">
        <v>45790</v>
      </c>
      <c r="DI2" s="177">
        <v>45791</v>
      </c>
      <c r="DJ2" s="177">
        <v>45792</v>
      </c>
      <c r="DK2" s="177">
        <v>45793</v>
      </c>
      <c r="DL2" s="177">
        <v>45794</v>
      </c>
      <c r="DM2" s="177">
        <v>45795</v>
      </c>
      <c r="DN2" s="177">
        <v>45796</v>
      </c>
      <c r="DO2" s="177">
        <v>45797</v>
      </c>
      <c r="DP2" s="177">
        <v>45798</v>
      </c>
      <c r="DQ2" s="177">
        <v>45799</v>
      </c>
      <c r="DR2" s="177">
        <v>45800</v>
      </c>
      <c r="DS2" s="195"/>
    </row>
    <row r="3" spans="2:123" ht="22.5" customHeight="1" x14ac:dyDescent="0.2">
      <c r="B3" s="34"/>
      <c r="C3" s="35" t="s">
        <v>204</v>
      </c>
      <c r="D3" s="61"/>
      <c r="E3" s="193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  <c r="CL3" s="178"/>
      <c r="CM3" s="178"/>
      <c r="CN3" s="178"/>
      <c r="CO3" s="178"/>
      <c r="CP3" s="178"/>
      <c r="CQ3" s="178"/>
      <c r="CR3" s="178"/>
      <c r="CS3" s="178"/>
      <c r="CT3" s="178"/>
      <c r="CU3" s="178"/>
      <c r="CV3" s="178"/>
      <c r="CW3" s="178"/>
      <c r="CX3" s="178"/>
      <c r="CY3" s="178"/>
      <c r="CZ3" s="178"/>
      <c r="DA3" s="178"/>
      <c r="DB3" s="178"/>
      <c r="DC3" s="178"/>
      <c r="DD3" s="178"/>
      <c r="DE3" s="178"/>
      <c r="DF3" s="178"/>
      <c r="DG3" s="178"/>
      <c r="DH3" s="178"/>
      <c r="DI3" s="178"/>
      <c r="DJ3" s="178"/>
      <c r="DK3" s="178"/>
      <c r="DL3" s="178"/>
      <c r="DM3" s="178"/>
      <c r="DN3" s="178"/>
      <c r="DO3" s="178"/>
      <c r="DP3" s="178"/>
      <c r="DQ3" s="178"/>
      <c r="DR3" s="178"/>
      <c r="DS3" s="196"/>
    </row>
    <row r="4" spans="2:123" ht="24" customHeight="1" thickBot="1" x14ac:dyDescent="0.25">
      <c r="B4" s="84"/>
      <c r="C4" s="85" t="s">
        <v>205</v>
      </c>
      <c r="D4" s="86"/>
      <c r="E4" s="194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179"/>
      <c r="BQ4" s="179"/>
      <c r="BR4" s="179"/>
      <c r="BS4" s="179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  <c r="CO4" s="179"/>
      <c r="CP4" s="179"/>
      <c r="CQ4" s="179"/>
      <c r="CR4" s="179"/>
      <c r="CS4" s="179"/>
      <c r="CT4" s="179"/>
      <c r="CU4" s="179"/>
      <c r="CV4" s="179"/>
      <c r="CW4" s="179"/>
      <c r="CX4" s="179"/>
      <c r="CY4" s="179"/>
      <c r="CZ4" s="179"/>
      <c r="DA4" s="179"/>
      <c r="DB4" s="179"/>
      <c r="DC4" s="179"/>
      <c r="DD4" s="179"/>
      <c r="DE4" s="179"/>
      <c r="DF4" s="179"/>
      <c r="DG4" s="179"/>
      <c r="DH4" s="179"/>
      <c r="DI4" s="179"/>
      <c r="DJ4" s="179"/>
      <c r="DK4" s="179"/>
      <c r="DL4" s="179"/>
      <c r="DM4" s="179"/>
      <c r="DN4" s="179"/>
      <c r="DO4" s="179"/>
      <c r="DP4" s="179"/>
      <c r="DQ4" s="179"/>
      <c r="DR4" s="179"/>
      <c r="DS4" s="197"/>
    </row>
    <row r="5" spans="2:123" x14ac:dyDescent="0.2">
      <c r="B5" s="59" t="s">
        <v>206</v>
      </c>
      <c r="C5" s="60" t="s">
        <v>207</v>
      </c>
      <c r="D5" s="83" t="s">
        <v>39</v>
      </c>
      <c r="E5" s="75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87">
        <f>467.371+89.368+3.168+203.462+8.456+105.5+461*0.2</f>
        <v>969.52500000000009</v>
      </c>
    </row>
    <row r="6" spans="2:123" x14ac:dyDescent="0.2">
      <c r="B6" s="39" t="s">
        <v>208</v>
      </c>
      <c r="C6" s="43" t="s">
        <v>209</v>
      </c>
      <c r="D6" s="69" t="s">
        <v>39</v>
      </c>
      <c r="E6" s="76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87">
        <f>467.371+89.368+3.168+203.462+8.456+105.5+461*0.2</f>
        <v>969.52500000000009</v>
      </c>
    </row>
    <row r="7" spans="2:123" x14ac:dyDescent="0.2">
      <c r="B7" s="39" t="s">
        <v>210</v>
      </c>
      <c r="C7" s="43" t="s">
        <v>211</v>
      </c>
      <c r="D7" s="69" t="s">
        <v>39</v>
      </c>
      <c r="E7" s="76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87">
        <v>328</v>
      </c>
    </row>
    <row r="8" spans="2:123" x14ac:dyDescent="0.2">
      <c r="B8" s="39" t="s">
        <v>212</v>
      </c>
      <c r="C8" s="43" t="s">
        <v>213</v>
      </c>
      <c r="D8" s="69" t="s">
        <v>39</v>
      </c>
      <c r="E8" s="76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87">
        <v>328</v>
      </c>
    </row>
    <row r="9" spans="2:123" x14ac:dyDescent="0.2">
      <c r="B9" s="39" t="s">
        <v>214</v>
      </c>
      <c r="C9" s="43" t="s">
        <v>215</v>
      </c>
      <c r="D9" s="69" t="s">
        <v>202</v>
      </c>
      <c r="E9" s="76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87">
        <v>135</v>
      </c>
    </row>
    <row r="10" spans="2:123" x14ac:dyDescent="0.2">
      <c r="B10" s="39" t="s">
        <v>216</v>
      </c>
      <c r="C10" s="43" t="s">
        <v>217</v>
      </c>
      <c r="D10" s="69" t="s">
        <v>39</v>
      </c>
      <c r="E10" s="76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87">
        <v>16.45</v>
      </c>
    </row>
    <row r="11" spans="2:123" x14ac:dyDescent="0.2">
      <c r="B11" s="39" t="s">
        <v>218</v>
      </c>
      <c r="C11" s="43" t="s">
        <v>219</v>
      </c>
      <c r="D11" s="69" t="s">
        <v>202</v>
      </c>
      <c r="E11" s="76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87">
        <v>52</v>
      </c>
    </row>
    <row r="12" spans="2:123" x14ac:dyDescent="0.2">
      <c r="B12" s="39" t="s">
        <v>220</v>
      </c>
      <c r="C12" s="43" t="s">
        <v>221</v>
      </c>
      <c r="D12" s="69" t="s">
        <v>202</v>
      </c>
      <c r="E12" s="76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87">
        <v>10</v>
      </c>
    </row>
    <row r="13" spans="2:123" x14ac:dyDescent="0.2">
      <c r="B13" s="39" t="s">
        <v>222</v>
      </c>
      <c r="C13" s="43" t="s">
        <v>223</v>
      </c>
      <c r="D13" s="69" t="s">
        <v>224</v>
      </c>
      <c r="E13" s="76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87">
        <v>165</v>
      </c>
    </row>
    <row r="14" spans="2:123" x14ac:dyDescent="0.2">
      <c r="B14" s="36"/>
      <c r="C14" s="37" t="s">
        <v>225</v>
      </c>
      <c r="D14" s="81"/>
      <c r="E14" s="73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88"/>
    </row>
    <row r="15" spans="2:123" x14ac:dyDescent="0.2">
      <c r="B15" s="39" t="s">
        <v>226</v>
      </c>
      <c r="C15" s="43" t="s">
        <v>227</v>
      </c>
      <c r="D15" s="69" t="s">
        <v>39</v>
      </c>
      <c r="E15" s="76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87">
        <v>302</v>
      </c>
    </row>
    <row r="16" spans="2:123" x14ac:dyDescent="0.2">
      <c r="B16" s="39" t="s">
        <v>228</v>
      </c>
      <c r="C16" s="43" t="s">
        <v>229</v>
      </c>
      <c r="D16" s="69" t="s">
        <v>39</v>
      </c>
      <c r="E16" s="76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87">
        <v>570</v>
      </c>
    </row>
    <row r="17" spans="2:123" x14ac:dyDescent="0.2">
      <c r="B17" s="39" t="s">
        <v>230</v>
      </c>
      <c r="C17" s="43" t="s">
        <v>231</v>
      </c>
      <c r="D17" s="69" t="s">
        <v>39</v>
      </c>
      <c r="E17" s="76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87">
        <v>450</v>
      </c>
    </row>
    <row r="18" spans="2:123" x14ac:dyDescent="0.2">
      <c r="B18" s="39" t="s">
        <v>232</v>
      </c>
      <c r="C18" s="43" t="s">
        <v>233</v>
      </c>
      <c r="D18" s="69" t="s">
        <v>39</v>
      </c>
      <c r="E18" s="76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87">
        <v>193</v>
      </c>
    </row>
    <row r="19" spans="2:123" x14ac:dyDescent="0.2">
      <c r="B19" s="39" t="s">
        <v>234</v>
      </c>
      <c r="C19" s="43" t="s">
        <v>235</v>
      </c>
      <c r="D19" s="69" t="s">
        <v>39</v>
      </c>
      <c r="E19" s="76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87">
        <v>120</v>
      </c>
    </row>
    <row r="20" spans="2:123" x14ac:dyDescent="0.2">
      <c r="B20" s="39" t="s">
        <v>236</v>
      </c>
      <c r="C20" s="43" t="s">
        <v>237</v>
      </c>
      <c r="D20" s="69" t="s">
        <v>39</v>
      </c>
      <c r="E20" s="76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89">
        <v>461</v>
      </c>
    </row>
    <row r="21" spans="2:123" x14ac:dyDescent="0.2">
      <c r="B21" s="39" t="s">
        <v>238</v>
      </c>
      <c r="C21" s="43" t="s">
        <v>239</v>
      </c>
      <c r="D21" s="69" t="s">
        <v>39</v>
      </c>
      <c r="E21" s="76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87">
        <f>17.3*2</f>
        <v>34.6</v>
      </c>
    </row>
    <row r="22" spans="2:123" x14ac:dyDescent="0.2">
      <c r="B22" s="39" t="s">
        <v>240</v>
      </c>
      <c r="C22" s="43" t="s">
        <v>241</v>
      </c>
      <c r="D22" s="69" t="s">
        <v>39</v>
      </c>
      <c r="E22" s="76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87">
        <f>17.3*2</f>
        <v>34.6</v>
      </c>
    </row>
    <row r="23" spans="2:123" x14ac:dyDescent="0.2">
      <c r="B23" s="39" t="s">
        <v>242</v>
      </c>
      <c r="C23" s="43" t="s">
        <v>243</v>
      </c>
      <c r="D23" s="69" t="s">
        <v>244</v>
      </c>
      <c r="E23" s="76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89">
        <v>1</v>
      </c>
    </row>
    <row r="24" spans="2:123" x14ac:dyDescent="0.2">
      <c r="B24" s="36"/>
      <c r="C24" s="37" t="s">
        <v>245</v>
      </c>
      <c r="D24" s="81"/>
      <c r="E24" s="73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88"/>
    </row>
    <row r="25" spans="2:123" x14ac:dyDescent="0.2">
      <c r="B25" s="39" t="s">
        <v>246</v>
      </c>
      <c r="C25" s="43" t="s">
        <v>247</v>
      </c>
      <c r="D25" s="69" t="s">
        <v>39</v>
      </c>
      <c r="E25" s="76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87">
        <v>158</v>
      </c>
    </row>
    <row r="26" spans="2:123" x14ac:dyDescent="0.2">
      <c r="B26" s="39" t="s">
        <v>248</v>
      </c>
      <c r="C26" s="43" t="s">
        <v>249</v>
      </c>
      <c r="D26" s="69" t="s">
        <v>39</v>
      </c>
      <c r="E26" s="76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87">
        <v>346</v>
      </c>
    </row>
    <row r="27" spans="2:123" x14ac:dyDescent="0.2">
      <c r="B27" s="39" t="s">
        <v>250</v>
      </c>
      <c r="C27" s="43" t="s">
        <v>251</v>
      </c>
      <c r="D27" s="69" t="s">
        <v>39</v>
      </c>
      <c r="E27" s="76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87">
        <v>279</v>
      </c>
    </row>
    <row r="28" spans="2:123" x14ac:dyDescent="0.2">
      <c r="B28" s="39" t="s">
        <v>252</v>
      </c>
      <c r="C28" s="43" t="s">
        <v>253</v>
      </c>
      <c r="D28" s="69" t="s">
        <v>39</v>
      </c>
      <c r="E28" s="76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87">
        <v>329.9</v>
      </c>
    </row>
    <row r="29" spans="2:123" x14ac:dyDescent="0.2">
      <c r="B29" s="39" t="s">
        <v>254</v>
      </c>
      <c r="C29" s="43" t="s">
        <v>255</v>
      </c>
      <c r="D29" s="69" t="s">
        <v>39</v>
      </c>
      <c r="E29" s="76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87">
        <v>84.8</v>
      </c>
    </row>
    <row r="30" spans="2:123" x14ac:dyDescent="0.2">
      <c r="B30" s="39" t="s">
        <v>256</v>
      </c>
      <c r="C30" s="43" t="s">
        <v>257</v>
      </c>
      <c r="D30" s="69" t="s">
        <v>39</v>
      </c>
      <c r="E30" s="76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87">
        <v>139</v>
      </c>
    </row>
    <row r="31" spans="2:123" x14ac:dyDescent="0.2">
      <c r="B31" s="39" t="s">
        <v>258</v>
      </c>
      <c r="C31" s="43" t="s">
        <v>259</v>
      </c>
      <c r="D31" s="69" t="s">
        <v>39</v>
      </c>
      <c r="E31" s="76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87">
        <v>217.80600000000001</v>
      </c>
    </row>
    <row r="32" spans="2:123" x14ac:dyDescent="0.2">
      <c r="B32" s="39" t="s">
        <v>260</v>
      </c>
      <c r="C32" s="43" t="s">
        <v>261</v>
      </c>
      <c r="D32" s="69" t="s">
        <v>39</v>
      </c>
      <c r="E32" s="76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87">
        <v>427.08800000000002</v>
      </c>
    </row>
    <row r="33" spans="2:123" x14ac:dyDescent="0.2">
      <c r="B33" s="39" t="s">
        <v>262</v>
      </c>
      <c r="C33" s="43" t="s">
        <v>263</v>
      </c>
      <c r="D33" s="69" t="s">
        <v>39</v>
      </c>
      <c r="E33" s="76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87">
        <v>390.51</v>
      </c>
    </row>
    <row r="34" spans="2:123" x14ac:dyDescent="0.2">
      <c r="B34" s="39" t="s">
        <v>264</v>
      </c>
      <c r="C34" s="43" t="s">
        <v>265</v>
      </c>
      <c r="D34" s="69" t="s">
        <v>39</v>
      </c>
      <c r="E34" s="76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87">
        <v>260</v>
      </c>
    </row>
    <row r="35" spans="2:123" x14ac:dyDescent="0.2">
      <c r="B35" s="39" t="s">
        <v>266</v>
      </c>
      <c r="C35" s="43" t="s">
        <v>267</v>
      </c>
      <c r="D35" s="69" t="s">
        <v>39</v>
      </c>
      <c r="E35" s="76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87">
        <v>456.68599999999998</v>
      </c>
    </row>
    <row r="36" spans="2:123" x14ac:dyDescent="0.2">
      <c r="B36" s="39" t="s">
        <v>268</v>
      </c>
      <c r="C36" s="43" t="s">
        <v>269</v>
      </c>
      <c r="D36" s="69" t="s">
        <v>39</v>
      </c>
      <c r="E36" s="76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87">
        <v>155.31</v>
      </c>
    </row>
    <row r="37" spans="2:123" x14ac:dyDescent="0.2">
      <c r="B37" s="39" t="s">
        <v>270</v>
      </c>
      <c r="C37" s="43" t="s">
        <v>271</v>
      </c>
      <c r="D37" s="69" t="s">
        <v>39</v>
      </c>
      <c r="E37" s="76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87">
        <v>69.5</v>
      </c>
    </row>
    <row r="38" spans="2:123" x14ac:dyDescent="0.2">
      <c r="B38" s="39" t="s">
        <v>272</v>
      </c>
      <c r="C38" s="43" t="s">
        <v>243</v>
      </c>
      <c r="D38" s="69" t="s">
        <v>202</v>
      </c>
      <c r="E38" s="76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90">
        <v>12</v>
      </c>
    </row>
    <row r="39" spans="2:123" x14ac:dyDescent="0.2">
      <c r="B39" s="39" t="s">
        <v>273</v>
      </c>
      <c r="C39" s="43" t="s">
        <v>274</v>
      </c>
      <c r="D39" s="69" t="s">
        <v>224</v>
      </c>
      <c r="E39" s="76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87">
        <v>95</v>
      </c>
    </row>
    <row r="40" spans="2:123" x14ac:dyDescent="0.2">
      <c r="B40" s="39" t="s">
        <v>275</v>
      </c>
      <c r="C40" s="43" t="s">
        <v>276</v>
      </c>
      <c r="D40" s="69" t="s">
        <v>39</v>
      </c>
      <c r="E40" s="76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87">
        <v>30</v>
      </c>
    </row>
    <row r="41" spans="2:123" x14ac:dyDescent="0.2">
      <c r="B41" s="39" t="s">
        <v>277</v>
      </c>
      <c r="C41" s="43" t="s">
        <v>278</v>
      </c>
      <c r="D41" s="69" t="s">
        <v>39</v>
      </c>
      <c r="E41" s="76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87">
        <v>22</v>
      </c>
    </row>
    <row r="42" spans="2:123" x14ac:dyDescent="0.2">
      <c r="B42" s="36"/>
      <c r="C42" s="37" t="s">
        <v>279</v>
      </c>
      <c r="D42" s="81"/>
      <c r="E42" s="73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88"/>
    </row>
    <row r="43" spans="2:123" x14ac:dyDescent="0.2">
      <c r="B43" s="39" t="s">
        <v>280</v>
      </c>
      <c r="C43" s="43" t="s">
        <v>281</v>
      </c>
      <c r="D43" s="69" t="s">
        <v>39</v>
      </c>
      <c r="E43" s="76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87">
        <f>40.755+61</f>
        <v>101.755</v>
      </c>
    </row>
    <row r="44" spans="2:123" x14ac:dyDescent="0.2">
      <c r="B44" s="39" t="s">
        <v>282</v>
      </c>
      <c r="C44" s="43" t="s">
        <v>249</v>
      </c>
      <c r="D44" s="69" t="s">
        <v>39</v>
      </c>
      <c r="E44" s="76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89">
        <v>1122.57</v>
      </c>
    </row>
    <row r="45" spans="2:123" x14ac:dyDescent="0.2">
      <c r="B45" s="39" t="s">
        <v>283</v>
      </c>
      <c r="C45" s="43" t="s">
        <v>253</v>
      </c>
      <c r="D45" s="69" t="s">
        <v>39</v>
      </c>
      <c r="E45" s="76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89">
        <v>1122.57</v>
      </c>
    </row>
    <row r="46" spans="2:123" x14ac:dyDescent="0.2">
      <c r="B46" s="39" t="s">
        <v>284</v>
      </c>
      <c r="C46" s="43" t="s">
        <v>255</v>
      </c>
      <c r="D46" s="69" t="s">
        <v>39</v>
      </c>
      <c r="E46" s="76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87">
        <v>145.47</v>
      </c>
    </row>
    <row r="47" spans="2:123" x14ac:dyDescent="0.2">
      <c r="B47" s="39" t="s">
        <v>285</v>
      </c>
      <c r="C47" s="43" t="s">
        <v>257</v>
      </c>
      <c r="D47" s="69" t="s">
        <v>39</v>
      </c>
      <c r="E47" s="76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87">
        <v>123.8</v>
      </c>
    </row>
    <row r="48" spans="2:123" x14ac:dyDescent="0.2">
      <c r="B48" s="39" t="s">
        <v>286</v>
      </c>
      <c r="C48" s="43" t="s">
        <v>227</v>
      </c>
      <c r="D48" s="69" t="s">
        <v>39</v>
      </c>
      <c r="E48" s="76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87">
        <v>454</v>
      </c>
    </row>
    <row r="49" spans="2:123" x14ac:dyDescent="0.2">
      <c r="B49" s="39" t="s">
        <v>287</v>
      </c>
      <c r="C49" s="43" t="s">
        <v>288</v>
      </c>
      <c r="D49" s="69" t="s">
        <v>39</v>
      </c>
      <c r="E49" s="76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87">
        <v>144</v>
      </c>
    </row>
    <row r="50" spans="2:123" x14ac:dyDescent="0.2">
      <c r="B50" s="39" t="s">
        <v>289</v>
      </c>
      <c r="C50" s="43" t="s">
        <v>263</v>
      </c>
      <c r="D50" s="69" t="s">
        <v>39</v>
      </c>
      <c r="E50" s="76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87">
        <v>1122.5999999999999</v>
      </c>
    </row>
    <row r="51" spans="2:123" x14ac:dyDescent="0.2">
      <c r="B51" s="39" t="s">
        <v>290</v>
      </c>
      <c r="C51" s="43" t="s">
        <v>291</v>
      </c>
      <c r="D51" s="69" t="s">
        <v>39</v>
      </c>
      <c r="E51" s="76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87">
        <v>155</v>
      </c>
    </row>
    <row r="52" spans="2:123" x14ac:dyDescent="0.2">
      <c r="B52" s="39" t="s">
        <v>292</v>
      </c>
      <c r="C52" s="43" t="s">
        <v>293</v>
      </c>
      <c r="D52" s="69" t="s">
        <v>39</v>
      </c>
      <c r="E52" s="76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87">
        <v>466</v>
      </c>
    </row>
    <row r="53" spans="2:123" x14ac:dyDescent="0.2">
      <c r="B53" s="39" t="s">
        <v>294</v>
      </c>
      <c r="C53" s="43" t="s">
        <v>295</v>
      </c>
      <c r="D53" s="69" t="s">
        <v>39</v>
      </c>
      <c r="E53" s="76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87">
        <v>467</v>
      </c>
    </row>
    <row r="54" spans="2:123" x14ac:dyDescent="0.2">
      <c r="B54" s="39" t="s">
        <v>296</v>
      </c>
      <c r="C54" s="43" t="s">
        <v>297</v>
      </c>
      <c r="D54" s="69" t="s">
        <v>39</v>
      </c>
      <c r="E54" s="76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87">
        <v>335</v>
      </c>
    </row>
    <row r="55" spans="2:123" x14ac:dyDescent="0.2">
      <c r="B55" s="39" t="s">
        <v>298</v>
      </c>
      <c r="C55" s="43" t="s">
        <v>299</v>
      </c>
      <c r="D55" s="69" t="s">
        <v>39</v>
      </c>
      <c r="E55" s="76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87">
        <v>23</v>
      </c>
    </row>
    <row r="56" spans="2:123" x14ac:dyDescent="0.2">
      <c r="B56" s="39" t="s">
        <v>300</v>
      </c>
      <c r="C56" s="43" t="s">
        <v>243</v>
      </c>
      <c r="D56" s="69" t="s">
        <v>202</v>
      </c>
      <c r="E56" s="76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90">
        <v>17</v>
      </c>
    </row>
    <row r="57" spans="2:123" x14ac:dyDescent="0.2">
      <c r="B57" s="39" t="s">
        <v>301</v>
      </c>
      <c r="C57" s="43" t="s">
        <v>274</v>
      </c>
      <c r="D57" s="69" t="s">
        <v>224</v>
      </c>
      <c r="E57" s="76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87">
        <v>107</v>
      </c>
    </row>
    <row r="58" spans="2:123" x14ac:dyDescent="0.2">
      <c r="B58" s="39" t="s">
        <v>302</v>
      </c>
      <c r="C58" s="43" t="s">
        <v>303</v>
      </c>
      <c r="D58" s="69" t="s">
        <v>202</v>
      </c>
      <c r="E58" s="76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90">
        <v>288</v>
      </c>
    </row>
    <row r="59" spans="2:123" x14ac:dyDescent="0.2">
      <c r="B59" s="36"/>
      <c r="C59" s="37" t="s">
        <v>304</v>
      </c>
      <c r="D59" s="81"/>
      <c r="E59" s="73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88"/>
    </row>
    <row r="60" spans="2:123" x14ac:dyDescent="0.2">
      <c r="B60" s="39" t="s">
        <v>305</v>
      </c>
      <c r="C60" s="43" t="s">
        <v>306</v>
      </c>
      <c r="D60" s="69" t="s">
        <v>39</v>
      </c>
      <c r="E60" s="76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87">
        <v>90</v>
      </c>
    </row>
    <row r="61" spans="2:123" x14ac:dyDescent="0.2">
      <c r="B61" s="39" t="s">
        <v>307</v>
      </c>
      <c r="C61" s="43" t="s">
        <v>249</v>
      </c>
      <c r="D61" s="69" t="s">
        <v>39</v>
      </c>
      <c r="E61" s="76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89">
        <f>261.045-54.22</f>
        <v>206.82500000000002</v>
      </c>
    </row>
    <row r="62" spans="2:123" x14ac:dyDescent="0.2">
      <c r="B62" s="39" t="s">
        <v>308</v>
      </c>
      <c r="C62" s="43" t="s">
        <v>251</v>
      </c>
      <c r="D62" s="69" t="s">
        <v>39</v>
      </c>
      <c r="E62" s="76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89">
        <v>54.22</v>
      </c>
    </row>
    <row r="63" spans="2:123" x14ac:dyDescent="0.2">
      <c r="B63" s="39" t="s">
        <v>309</v>
      </c>
      <c r="C63" s="43" t="s">
        <v>253</v>
      </c>
      <c r="D63" s="69" t="s">
        <v>39</v>
      </c>
      <c r="E63" s="76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89">
        <v>261.04000000000002</v>
      </c>
    </row>
    <row r="64" spans="2:123" x14ac:dyDescent="0.2">
      <c r="B64" s="39" t="s">
        <v>310</v>
      </c>
      <c r="C64" s="43" t="s">
        <v>255</v>
      </c>
      <c r="D64" s="69" t="s">
        <v>39</v>
      </c>
      <c r="E64" s="76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87">
        <v>121.58</v>
      </c>
    </row>
    <row r="65" spans="2:123" x14ac:dyDescent="0.2">
      <c r="B65" s="39" t="s">
        <v>311</v>
      </c>
      <c r="C65" s="43" t="s">
        <v>257</v>
      </c>
      <c r="D65" s="69" t="s">
        <v>39</v>
      </c>
      <c r="E65" s="76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87">
        <v>120.6</v>
      </c>
    </row>
    <row r="66" spans="2:123" x14ac:dyDescent="0.2">
      <c r="B66" s="39" t="s">
        <v>312</v>
      </c>
      <c r="C66" s="43" t="s">
        <v>313</v>
      </c>
      <c r="D66" s="69" t="s">
        <v>39</v>
      </c>
      <c r="E66" s="76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87">
        <v>54</v>
      </c>
    </row>
    <row r="67" spans="2:123" x14ac:dyDescent="0.2">
      <c r="B67" s="39" t="s">
        <v>314</v>
      </c>
      <c r="C67" s="43" t="s">
        <v>261</v>
      </c>
      <c r="D67" s="69" t="s">
        <v>39</v>
      </c>
      <c r="E67" s="76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87">
        <v>52</v>
      </c>
    </row>
    <row r="68" spans="2:123" x14ac:dyDescent="0.2">
      <c r="B68" s="39" t="s">
        <v>315</v>
      </c>
      <c r="C68" s="43" t="s">
        <v>263</v>
      </c>
      <c r="D68" s="69" t="s">
        <v>39</v>
      </c>
      <c r="E68" s="76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87">
        <v>239</v>
      </c>
    </row>
    <row r="69" spans="2:123" x14ac:dyDescent="0.2">
      <c r="B69" s="39" t="s">
        <v>316</v>
      </c>
      <c r="C69" s="43" t="s">
        <v>265</v>
      </c>
      <c r="D69" s="69" t="s">
        <v>39</v>
      </c>
      <c r="E69" s="76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87">
        <v>230</v>
      </c>
    </row>
    <row r="70" spans="2:123" x14ac:dyDescent="0.2">
      <c r="B70" s="39" t="s">
        <v>317</v>
      </c>
      <c r="C70" s="43" t="s">
        <v>293</v>
      </c>
      <c r="D70" s="69" t="s">
        <v>39</v>
      </c>
      <c r="E70" s="76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87">
        <v>260</v>
      </c>
    </row>
    <row r="71" spans="2:123" x14ac:dyDescent="0.2">
      <c r="B71" s="39" t="s">
        <v>318</v>
      </c>
      <c r="C71" s="43" t="s">
        <v>295</v>
      </c>
      <c r="D71" s="69" t="s">
        <v>39</v>
      </c>
      <c r="E71" s="76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87">
        <v>182</v>
      </c>
    </row>
    <row r="72" spans="2:123" x14ac:dyDescent="0.2">
      <c r="B72" s="39" t="s">
        <v>319</v>
      </c>
      <c r="C72" s="43" t="s">
        <v>297</v>
      </c>
      <c r="D72" s="69" t="s">
        <v>39</v>
      </c>
      <c r="E72" s="76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89">
        <v>13</v>
      </c>
    </row>
    <row r="73" spans="2:123" x14ac:dyDescent="0.2">
      <c r="B73" s="39" t="s">
        <v>320</v>
      </c>
      <c r="C73" s="43" t="s">
        <v>321</v>
      </c>
      <c r="D73" s="69" t="s">
        <v>39</v>
      </c>
      <c r="E73" s="76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89">
        <v>118.58</v>
      </c>
    </row>
    <row r="74" spans="2:123" x14ac:dyDescent="0.2">
      <c r="B74" s="39" t="s">
        <v>322</v>
      </c>
      <c r="C74" s="43" t="s">
        <v>243</v>
      </c>
      <c r="D74" s="69" t="s">
        <v>202</v>
      </c>
      <c r="E74" s="76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90">
        <v>11</v>
      </c>
    </row>
    <row r="75" spans="2:123" x14ac:dyDescent="0.2">
      <c r="B75" s="39" t="s">
        <v>323</v>
      </c>
      <c r="C75" s="43" t="s">
        <v>274</v>
      </c>
      <c r="D75" s="69" t="s">
        <v>224</v>
      </c>
      <c r="E75" s="76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87">
        <v>46</v>
      </c>
    </row>
    <row r="76" spans="2:123" x14ac:dyDescent="0.2">
      <c r="B76" s="39" t="s">
        <v>324</v>
      </c>
      <c r="C76" s="43" t="s">
        <v>325</v>
      </c>
      <c r="D76" s="69" t="s">
        <v>39</v>
      </c>
      <c r="E76" s="76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87">
        <v>92</v>
      </c>
    </row>
    <row r="77" spans="2:123" x14ac:dyDescent="0.2">
      <c r="B77" s="39" t="s">
        <v>326</v>
      </c>
      <c r="C77" s="43" t="s">
        <v>327</v>
      </c>
      <c r="D77" s="69" t="s">
        <v>39</v>
      </c>
      <c r="E77" s="76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87">
        <v>5.46</v>
      </c>
    </row>
    <row r="78" spans="2:123" x14ac:dyDescent="0.2">
      <c r="B78" s="36"/>
      <c r="C78" s="37" t="s">
        <v>328</v>
      </c>
      <c r="D78" s="81"/>
      <c r="E78" s="73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88"/>
    </row>
    <row r="79" spans="2:123" x14ac:dyDescent="0.2">
      <c r="B79" s="39" t="s">
        <v>329</v>
      </c>
      <c r="C79" s="43" t="s">
        <v>306</v>
      </c>
      <c r="D79" s="69" t="s">
        <v>39</v>
      </c>
      <c r="E79" s="76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87">
        <v>55</v>
      </c>
    </row>
    <row r="80" spans="2:123" x14ac:dyDescent="0.2">
      <c r="B80" s="39" t="s">
        <v>330</v>
      </c>
      <c r="C80" s="43" t="s">
        <v>249</v>
      </c>
      <c r="D80" s="82" t="s">
        <v>39</v>
      </c>
      <c r="E80" s="77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89">
        <v>166</v>
      </c>
    </row>
    <row r="81" spans="2:123" x14ac:dyDescent="0.2">
      <c r="B81" s="39" t="s">
        <v>331</v>
      </c>
      <c r="C81" s="43" t="s">
        <v>251</v>
      </c>
      <c r="D81" s="82" t="s">
        <v>39</v>
      </c>
      <c r="E81" s="77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89">
        <v>44.9</v>
      </c>
    </row>
    <row r="82" spans="2:123" x14ac:dyDescent="0.2">
      <c r="B82" s="39" t="s">
        <v>332</v>
      </c>
      <c r="C82" s="43" t="s">
        <v>253</v>
      </c>
      <c r="D82" s="82" t="s">
        <v>39</v>
      </c>
      <c r="E82" s="77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89">
        <v>125.7</v>
      </c>
    </row>
    <row r="83" spans="2:123" x14ac:dyDescent="0.2">
      <c r="B83" s="39" t="s">
        <v>333</v>
      </c>
      <c r="C83" s="43" t="s">
        <v>255</v>
      </c>
      <c r="D83" s="69" t="s">
        <v>39</v>
      </c>
      <c r="E83" s="76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87">
        <v>46.2</v>
      </c>
    </row>
    <row r="84" spans="2:123" x14ac:dyDescent="0.2">
      <c r="B84" s="39" t="s">
        <v>334</v>
      </c>
      <c r="C84" s="43" t="s">
        <v>257</v>
      </c>
      <c r="D84" s="69" t="s">
        <v>39</v>
      </c>
      <c r="E84" s="76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87">
        <v>54</v>
      </c>
    </row>
    <row r="85" spans="2:123" x14ac:dyDescent="0.2">
      <c r="B85" s="39" t="s">
        <v>335</v>
      </c>
      <c r="C85" s="43" t="s">
        <v>313</v>
      </c>
      <c r="D85" s="69" t="s">
        <v>39</v>
      </c>
      <c r="E85" s="76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87">
        <v>23</v>
      </c>
    </row>
    <row r="86" spans="2:123" x14ac:dyDescent="0.2">
      <c r="B86" s="39" t="s">
        <v>336</v>
      </c>
      <c r="C86" s="43" t="s">
        <v>261</v>
      </c>
      <c r="D86" s="69" t="s">
        <v>39</v>
      </c>
      <c r="E86" s="76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87">
        <v>10.75</v>
      </c>
    </row>
    <row r="87" spans="2:123" x14ac:dyDescent="0.2">
      <c r="B87" s="39" t="s">
        <v>337</v>
      </c>
      <c r="C87" s="43" t="s">
        <v>263</v>
      </c>
      <c r="D87" s="69" t="s">
        <v>39</v>
      </c>
      <c r="E87" s="76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87">
        <v>106</v>
      </c>
    </row>
    <row r="88" spans="2:123" x14ac:dyDescent="0.2">
      <c r="B88" s="39" t="s">
        <v>338</v>
      </c>
      <c r="C88" s="43" t="s">
        <v>265</v>
      </c>
      <c r="D88" s="69" t="s">
        <v>39</v>
      </c>
      <c r="E88" s="76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87">
        <v>63</v>
      </c>
    </row>
    <row r="89" spans="2:123" x14ac:dyDescent="0.2">
      <c r="B89" s="39" t="s">
        <v>339</v>
      </c>
      <c r="C89" s="43" t="s">
        <v>293</v>
      </c>
      <c r="D89" s="69" t="s">
        <v>39</v>
      </c>
      <c r="E89" s="76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87">
        <v>170</v>
      </c>
    </row>
    <row r="90" spans="2:123" x14ac:dyDescent="0.2">
      <c r="B90" s="39" t="s">
        <v>340</v>
      </c>
      <c r="C90" s="43" t="s">
        <v>341</v>
      </c>
      <c r="D90" s="69" t="s">
        <v>39</v>
      </c>
      <c r="E90" s="76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87">
        <v>37</v>
      </c>
    </row>
    <row r="91" spans="2:123" x14ac:dyDescent="0.2">
      <c r="B91" s="39" t="s">
        <v>342</v>
      </c>
      <c r="C91" s="43" t="s">
        <v>297</v>
      </c>
      <c r="D91" s="69" t="s">
        <v>39</v>
      </c>
      <c r="E91" s="76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87">
        <v>20</v>
      </c>
    </row>
    <row r="92" spans="2:123" x14ac:dyDescent="0.2">
      <c r="B92" s="39" t="s">
        <v>343</v>
      </c>
      <c r="C92" s="43" t="s">
        <v>243</v>
      </c>
      <c r="D92" s="69" t="s">
        <v>202</v>
      </c>
      <c r="E92" s="76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90">
        <v>5</v>
      </c>
    </row>
    <row r="93" spans="2:123" x14ac:dyDescent="0.2">
      <c r="B93" s="39" t="s">
        <v>344</v>
      </c>
      <c r="C93" s="43" t="s">
        <v>274</v>
      </c>
      <c r="D93" s="69" t="s">
        <v>224</v>
      </c>
      <c r="E93" s="76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87">
        <v>80</v>
      </c>
    </row>
    <row r="94" spans="2:123" x14ac:dyDescent="0.2">
      <c r="B94" s="39" t="s">
        <v>345</v>
      </c>
      <c r="C94" s="43" t="s">
        <v>327</v>
      </c>
      <c r="D94" s="69" t="s">
        <v>39</v>
      </c>
      <c r="E94" s="76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87">
        <v>5.5</v>
      </c>
    </row>
    <row r="95" spans="2:123" x14ac:dyDescent="0.2">
      <c r="B95" s="39" t="s">
        <v>346</v>
      </c>
      <c r="C95" s="43" t="s">
        <v>347</v>
      </c>
      <c r="D95" s="69" t="s">
        <v>202</v>
      </c>
      <c r="E95" s="76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90">
        <v>50</v>
      </c>
    </row>
    <row r="96" spans="2:123" x14ac:dyDescent="0.2">
      <c r="B96" s="36"/>
      <c r="C96" s="44" t="s">
        <v>348</v>
      </c>
      <c r="D96" s="71"/>
      <c r="E96" s="78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8"/>
    </row>
    <row r="97" spans="2:123" x14ac:dyDescent="0.2">
      <c r="B97" s="39" t="s">
        <v>349</v>
      </c>
      <c r="C97" s="40" t="s">
        <v>350</v>
      </c>
      <c r="D97" s="68" t="s">
        <v>39</v>
      </c>
      <c r="E97" s="79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  <c r="DL97" s="46"/>
      <c r="DM97" s="46"/>
      <c r="DN97" s="46"/>
      <c r="DO97" s="46"/>
      <c r="DP97" s="46"/>
      <c r="DQ97" s="46"/>
      <c r="DR97" s="46"/>
      <c r="DS97" s="47">
        <v>286.52</v>
      </c>
    </row>
    <row r="98" spans="2:123" x14ac:dyDescent="0.2">
      <c r="B98" s="39" t="s">
        <v>351</v>
      </c>
      <c r="C98" s="40" t="s">
        <v>263</v>
      </c>
      <c r="D98" s="68" t="s">
        <v>39</v>
      </c>
      <c r="E98" s="79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  <c r="DL98" s="46"/>
      <c r="DM98" s="46"/>
      <c r="DN98" s="46"/>
      <c r="DO98" s="46"/>
      <c r="DP98" s="46"/>
      <c r="DQ98" s="46"/>
      <c r="DR98" s="46"/>
      <c r="DS98" s="47">
        <v>130</v>
      </c>
    </row>
    <row r="99" spans="2:123" x14ac:dyDescent="0.2">
      <c r="B99" s="39" t="s">
        <v>352</v>
      </c>
      <c r="C99" s="40" t="s">
        <v>353</v>
      </c>
      <c r="D99" s="68" t="s">
        <v>39</v>
      </c>
      <c r="E99" s="79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  <c r="DL99" s="46"/>
      <c r="DM99" s="46"/>
      <c r="DN99" s="46"/>
      <c r="DO99" s="46"/>
      <c r="DP99" s="46"/>
      <c r="DQ99" s="46"/>
      <c r="DR99" s="46"/>
      <c r="DS99" s="47">
        <v>220.65</v>
      </c>
    </row>
    <row r="100" spans="2:123" x14ac:dyDescent="0.2">
      <c r="B100" s="39" t="s">
        <v>354</v>
      </c>
      <c r="C100" s="40" t="s">
        <v>355</v>
      </c>
      <c r="D100" s="68" t="s">
        <v>356</v>
      </c>
      <c r="E100" s="79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  <c r="DR100" s="46"/>
      <c r="DS100" s="47">
        <v>100</v>
      </c>
    </row>
    <row r="101" spans="2:123" x14ac:dyDescent="0.2">
      <c r="B101" s="39" t="s">
        <v>357</v>
      </c>
      <c r="C101" s="40" t="s">
        <v>358</v>
      </c>
      <c r="D101" s="68" t="s">
        <v>39</v>
      </c>
      <c r="E101" s="79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46"/>
      <c r="DJ101" s="46"/>
      <c r="DK101" s="46"/>
      <c r="DL101" s="46"/>
      <c r="DM101" s="46"/>
      <c r="DN101" s="46"/>
      <c r="DO101" s="46"/>
      <c r="DP101" s="46"/>
      <c r="DQ101" s="46"/>
      <c r="DR101" s="46"/>
      <c r="DS101" s="47">
        <v>10</v>
      </c>
    </row>
    <row r="102" spans="2:123" x14ac:dyDescent="0.2">
      <c r="B102" s="39" t="s">
        <v>359</v>
      </c>
      <c r="C102" s="40" t="s">
        <v>360</v>
      </c>
      <c r="D102" s="69" t="s">
        <v>202</v>
      </c>
      <c r="E102" s="76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  <c r="DO102" s="42"/>
      <c r="DP102" s="42"/>
      <c r="DQ102" s="42"/>
      <c r="DR102" s="42"/>
      <c r="DS102" s="47">
        <v>2</v>
      </c>
    </row>
    <row r="103" spans="2:123" ht="16" thickBot="1" x14ac:dyDescent="0.25">
      <c r="B103" s="49" t="s">
        <v>361</v>
      </c>
      <c r="C103" s="50" t="s">
        <v>362</v>
      </c>
      <c r="D103" s="72" t="s">
        <v>224</v>
      </c>
      <c r="E103" s="9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92">
        <v>42.8</v>
      </c>
    </row>
  </sheetData>
  <mergeCells count="119">
    <mergeCell ref="DQ2:DQ4"/>
    <mergeCell ref="DR2:DR4"/>
    <mergeCell ref="DK2:DK4"/>
    <mergeCell ref="DL2:DL4"/>
    <mergeCell ref="DM2:DM4"/>
    <mergeCell ref="DN2:DN4"/>
    <mergeCell ref="DO2:DO4"/>
    <mergeCell ref="DP2:DP4"/>
    <mergeCell ref="DE2:DE4"/>
    <mergeCell ref="DF2:DF4"/>
    <mergeCell ref="DG2:DG4"/>
    <mergeCell ref="DH2:DH4"/>
    <mergeCell ref="DI2:DI4"/>
    <mergeCell ref="DJ2:DJ4"/>
    <mergeCell ref="CY2:CY4"/>
    <mergeCell ref="CZ2:CZ4"/>
    <mergeCell ref="DA2:DA4"/>
    <mergeCell ref="DB2:DB4"/>
    <mergeCell ref="DC2:DC4"/>
    <mergeCell ref="DD2:DD4"/>
    <mergeCell ref="CS2:CS4"/>
    <mergeCell ref="CT2:CT4"/>
    <mergeCell ref="CU2:CU4"/>
    <mergeCell ref="CV2:CV4"/>
    <mergeCell ref="CW2:CW4"/>
    <mergeCell ref="CX2:CX4"/>
    <mergeCell ref="CM2:CM4"/>
    <mergeCell ref="CN2:CN4"/>
    <mergeCell ref="CO2:CO4"/>
    <mergeCell ref="CP2:CP4"/>
    <mergeCell ref="CQ2:CQ4"/>
    <mergeCell ref="CR2:CR4"/>
    <mergeCell ref="CG2:CG4"/>
    <mergeCell ref="CH2:CH4"/>
    <mergeCell ref="CI2:CI4"/>
    <mergeCell ref="CJ2:CJ4"/>
    <mergeCell ref="CK2:CK4"/>
    <mergeCell ref="CL2:CL4"/>
    <mergeCell ref="CA2:CA4"/>
    <mergeCell ref="CB2:CB4"/>
    <mergeCell ref="CC2:CC4"/>
    <mergeCell ref="CD2:CD4"/>
    <mergeCell ref="CE2:CE4"/>
    <mergeCell ref="CF2:CF4"/>
    <mergeCell ref="BU2:BU4"/>
    <mergeCell ref="BV2:BV4"/>
    <mergeCell ref="BW2:BW4"/>
    <mergeCell ref="BX2:BX4"/>
    <mergeCell ref="BY2:BY4"/>
    <mergeCell ref="BZ2:BZ4"/>
    <mergeCell ref="BO2:BO4"/>
    <mergeCell ref="BP2:BP4"/>
    <mergeCell ref="BQ2:BQ4"/>
    <mergeCell ref="BR2:BR4"/>
    <mergeCell ref="BS2:BS4"/>
    <mergeCell ref="BT2:BT4"/>
    <mergeCell ref="BI2:BI4"/>
    <mergeCell ref="BJ2:BJ4"/>
    <mergeCell ref="BK2:BK4"/>
    <mergeCell ref="BL2:BL4"/>
    <mergeCell ref="BM2:BM4"/>
    <mergeCell ref="BN2:BN4"/>
    <mergeCell ref="BC2:BC4"/>
    <mergeCell ref="BD2:BD4"/>
    <mergeCell ref="BE2:BE4"/>
    <mergeCell ref="BF2:BF4"/>
    <mergeCell ref="BG2:BG4"/>
    <mergeCell ref="BH2:BH4"/>
    <mergeCell ref="AW2:AW4"/>
    <mergeCell ref="AX2:AX4"/>
    <mergeCell ref="AY2:AY4"/>
    <mergeCell ref="AZ2:AZ4"/>
    <mergeCell ref="BA2:BA4"/>
    <mergeCell ref="BB2:BB4"/>
    <mergeCell ref="AQ2:AQ4"/>
    <mergeCell ref="AR2:AR4"/>
    <mergeCell ref="AS2:AS4"/>
    <mergeCell ref="AT2:AT4"/>
    <mergeCell ref="AU2:AU4"/>
    <mergeCell ref="AV2:AV4"/>
    <mergeCell ref="AK2:AK4"/>
    <mergeCell ref="AL2:AL4"/>
    <mergeCell ref="AM2:AM4"/>
    <mergeCell ref="AN2:AN4"/>
    <mergeCell ref="AO2:AO4"/>
    <mergeCell ref="AP2:AP4"/>
    <mergeCell ref="W2:W4"/>
    <mergeCell ref="X2:X4"/>
    <mergeCell ref="DS2:DS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AE2:AE4"/>
    <mergeCell ref="AF2:AF4"/>
    <mergeCell ref="AG2:AG4"/>
    <mergeCell ref="AH2:AH4"/>
    <mergeCell ref="AI2:AI4"/>
    <mergeCell ref="AJ2:AJ4"/>
    <mergeCell ref="Y2:Y4"/>
    <mergeCell ref="Z2:Z4"/>
    <mergeCell ref="AA2:AA4"/>
    <mergeCell ref="AB2:AB4"/>
    <mergeCell ref="AC2:AC4"/>
    <mergeCell ref="AD2:AD4"/>
    <mergeCell ref="E2:E4"/>
    <mergeCell ref="O2:O4"/>
    <mergeCell ref="P2:P4"/>
    <mergeCell ref="Q2:Q4"/>
    <mergeCell ref="R2:R4"/>
    <mergeCell ref="S2:S4"/>
    <mergeCell ref="T2:T4"/>
    <mergeCell ref="U2:U4"/>
    <mergeCell ref="V2:V4"/>
  </mergeCells>
  <conditionalFormatting sqref="B2:C103">
    <cfRule type="expression" priority="9">
      <formula>ABS$6=TODAY()</formula>
    </cfRule>
  </conditionalFormatting>
  <conditionalFormatting sqref="D2:D4 D5:U103">
    <cfRule type="expression" priority="50">
      <formula>ACC$6=TODAY()</formula>
    </cfRule>
  </conditionalFormatting>
  <conditionalFormatting sqref="E2:DR2">
    <cfRule type="expression" priority="83">
      <formula>XQ$6=TODAY()</formula>
    </cfRule>
  </conditionalFormatting>
  <conditionalFormatting sqref="V5:AK103">
    <cfRule type="expression" priority="95">
      <formula>ACE$6=TODAY()</formula>
    </cfRule>
  </conditionalFormatting>
  <conditionalFormatting sqref="AL5:BA103">
    <cfRule type="expression" priority="93">
      <formula>ACE$6=TODAY()</formula>
    </cfRule>
  </conditionalFormatting>
  <conditionalFormatting sqref="BB5:BQ103">
    <cfRule type="expression" priority="91">
      <formula>ACE$6=TODAY()</formula>
    </cfRule>
  </conditionalFormatting>
  <conditionalFormatting sqref="BR5:CG103">
    <cfRule type="expression" priority="89">
      <formula>ACE$6=TODAY()</formula>
    </cfRule>
  </conditionalFormatting>
  <conditionalFormatting sqref="CH5:CW103">
    <cfRule type="expression" priority="87">
      <formula>ACE$6=TODAY()</formula>
    </cfRule>
  </conditionalFormatting>
  <conditionalFormatting sqref="CX5:DM103">
    <cfRule type="expression" priority="85">
      <formula>ACE$6=TODAY()</formula>
    </cfRule>
  </conditionalFormatting>
  <conditionalFormatting sqref="DN5:DR103">
    <cfRule type="expression" priority="113">
      <formula>ACE$6=TODAY()</formula>
    </cfRule>
  </conditionalFormatting>
  <conditionalFormatting sqref="DS2">
    <cfRule type="expression" priority="71">
      <formula>ACV$6=TODAY()</formula>
    </cfRule>
  </conditionalFormatting>
  <conditionalFormatting sqref="DS5:DS103">
    <cfRule type="expression" priority="10">
      <formula>ACD$6=TODAY()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6"/>
  <dimension ref="B2:O91"/>
  <sheetViews>
    <sheetView workbookViewId="0"/>
  </sheetViews>
  <sheetFormatPr baseColWidth="10" defaultColWidth="8.83203125" defaultRowHeight="15" x14ac:dyDescent="0.2"/>
  <cols>
    <col min="1" max="1" width="3.5" style="2" customWidth="1"/>
    <col min="2" max="2" width="31.1640625" style="2" customWidth="1"/>
    <col min="3" max="3" width="70.1640625" style="2" bestFit="1" customWidth="1"/>
    <col min="4" max="4" width="8.5" style="2" customWidth="1"/>
    <col min="5" max="8" width="8.83203125" style="2"/>
    <col min="9" max="9" width="39.5" style="2" bestFit="1" customWidth="1"/>
    <col min="10" max="10" width="6.83203125" style="2" customWidth="1"/>
    <col min="11" max="13" width="8.83203125" style="27"/>
    <col min="14" max="15" width="8.83203125" style="28"/>
    <col min="16" max="16384" width="8.83203125" style="2"/>
  </cols>
  <sheetData>
    <row r="2" spans="2:15" x14ac:dyDescent="0.2">
      <c r="I2" s="2" t="s">
        <v>181</v>
      </c>
      <c r="J2" s="2" t="s">
        <v>3</v>
      </c>
      <c r="K2" s="27" t="s">
        <v>183</v>
      </c>
      <c r="L2" s="27" t="s">
        <v>184</v>
      </c>
      <c r="M2" s="27" t="s">
        <v>185</v>
      </c>
      <c r="N2" s="27" t="s">
        <v>186</v>
      </c>
      <c r="O2" s="27" t="s">
        <v>5</v>
      </c>
    </row>
    <row r="3" spans="2:15" ht="32" x14ac:dyDescent="0.2">
      <c r="B3" s="2" t="s">
        <v>42</v>
      </c>
      <c r="C3" s="3" t="s">
        <v>43</v>
      </c>
      <c r="D3" s="2" t="s">
        <v>7</v>
      </c>
      <c r="E3" s="2">
        <v>4</v>
      </c>
      <c r="F3" s="2">
        <v>612</v>
      </c>
      <c r="I3" s="2" t="s">
        <v>182</v>
      </c>
      <c r="J3" s="2" t="s">
        <v>7</v>
      </c>
      <c r="K3" s="27" t="s">
        <v>179</v>
      </c>
      <c r="N3" s="28" t="e">
        <f>INDEX(#REF!,MATCH(K3,#REF!,0),1)+IFERROR(INDEX(#REF!,MATCH(L3,#REF!,0),1),)+IFERROR(INDEX(#REF!,MATCH(M3,#REF!,0),1),)</f>
        <v>#REF!</v>
      </c>
      <c r="O3" s="29" t="e">
        <f>INDEX(#REF!,MATCH(K3,#REF!,0),1)+IFERROR(INDEX(#REF!,MATCH(L3,#REF!,0),1),)+IFERROR(INDEX(#REF!,MATCH(M3,#REF!,0),1),)</f>
        <v>#REF!</v>
      </c>
    </row>
    <row r="4" spans="2:15" x14ac:dyDescent="0.2">
      <c r="B4" s="2" t="s">
        <v>8</v>
      </c>
      <c r="I4" s="2" t="s">
        <v>107</v>
      </c>
      <c r="J4" s="2" t="s">
        <v>7</v>
      </c>
      <c r="K4" s="27" t="s">
        <v>187</v>
      </c>
      <c r="L4" s="27" t="s">
        <v>188</v>
      </c>
      <c r="M4" s="27" t="s">
        <v>173</v>
      </c>
      <c r="N4" s="28" t="e">
        <f>INDEX(#REF!,MATCH(K4,#REF!,0),1)+IFERROR(INDEX(#REF!,MATCH(L4,#REF!,0),1),)+IFERROR(INDEX(#REF!,MATCH(M4,#REF!,0),1),)</f>
        <v>#REF!</v>
      </c>
      <c r="O4" s="29" t="e">
        <f>INDEX(#REF!,MATCH(K4,#REF!,0),1)+IFERROR(INDEX(#REF!,MATCH(L4,#REF!,0),1),)+IFERROR(INDEX(#REF!,MATCH(M4,#REF!,0),1),)</f>
        <v>#REF!</v>
      </c>
    </row>
    <row r="5" spans="2:15" x14ac:dyDescent="0.2">
      <c r="B5" s="2" t="s">
        <v>9</v>
      </c>
      <c r="I5" s="2" t="s">
        <v>123</v>
      </c>
      <c r="J5" s="2" t="s">
        <v>124</v>
      </c>
      <c r="K5" s="27" t="s">
        <v>180</v>
      </c>
      <c r="N5" s="28" t="e">
        <f>INDEX(#REF!,MATCH(K5,#REF!,0),1)+IFERROR(INDEX(#REF!,MATCH(L5,#REF!,0),1),)+IFERROR(INDEX(#REF!,MATCH(M5,#REF!,0),1),)</f>
        <v>#REF!</v>
      </c>
      <c r="O5" s="29" t="e">
        <f>INDEX(#REF!,MATCH(K5,#REF!,0),1)+IFERROR(INDEX(#REF!,MATCH(L5,#REF!,0),1),)+IFERROR(INDEX(#REF!,MATCH(M5,#REF!,0),1),)</f>
        <v>#REF!</v>
      </c>
    </row>
    <row r="6" spans="2:15" x14ac:dyDescent="0.2">
      <c r="B6" s="2" t="s">
        <v>17</v>
      </c>
      <c r="C6" s="2" t="str">
        <f>E6&amp;" Adet karada kazık eki yapıldı."</f>
        <v>3 Adet karada kazık eki yapıldı.</v>
      </c>
      <c r="D6" s="2" t="s">
        <v>7</v>
      </c>
      <c r="E6" s="2">
        <v>3</v>
      </c>
      <c r="I6" s="2" t="s">
        <v>82</v>
      </c>
      <c r="J6" s="2" t="s">
        <v>7</v>
      </c>
      <c r="K6" s="27" t="s">
        <v>167</v>
      </c>
      <c r="N6" s="28" t="e">
        <f>INDEX(#REF!,MATCH(K6,#REF!,0),1)+IFERROR(INDEX(#REF!,MATCH(L6,#REF!,0),1),)+IFERROR(INDEX(#REF!,MATCH(M6,#REF!,0),1),)</f>
        <v>#REF!</v>
      </c>
      <c r="O6" s="29" t="e">
        <f>INDEX(#REF!,MATCH(K6,#REF!,0),1)+IFERROR(INDEX(#REF!,MATCH(L6,#REF!,0),1),)+IFERROR(INDEX(#REF!,MATCH(M6,#REF!,0),1),)</f>
        <v>#REF!</v>
      </c>
    </row>
    <row r="7" spans="2:15" x14ac:dyDescent="0.2">
      <c r="B7" s="2" t="s">
        <v>10</v>
      </c>
      <c r="C7" s="2" t="str">
        <f>E7&amp;" Adet kazık ekinde UT testi yapıldı."</f>
        <v>6 Adet kazık ekinde UT testi yapıldı.</v>
      </c>
      <c r="D7" s="2" t="s">
        <v>7</v>
      </c>
      <c r="E7" s="2">
        <v>6</v>
      </c>
      <c r="I7" s="2" t="s">
        <v>135</v>
      </c>
      <c r="J7" s="2" t="s">
        <v>134</v>
      </c>
      <c r="K7" s="27" t="s">
        <v>178</v>
      </c>
      <c r="N7" s="30" t="e">
        <f>INDEX(#REF!,MATCH(K7,#REF!,0),1)+IFERROR(INDEX(#REF!,MATCH(L7,#REF!,0),1),)+IFERROR(INDEX(#REF!,MATCH(M7,#REF!,0),1),)</f>
        <v>#REF!</v>
      </c>
      <c r="O7" s="30" t="e">
        <f>INDEX(#REF!,MATCH(K7,#REF!,0),1)+IFERROR(INDEX(#REF!,MATCH(L7,#REF!,0),1),)+IFERROR(INDEX(#REF!,MATCH(M7,#REF!,0),1),)</f>
        <v>#REF!</v>
      </c>
    </row>
    <row r="8" spans="2:15" ht="32" x14ac:dyDescent="0.2">
      <c r="B8" s="2" t="s">
        <v>6</v>
      </c>
      <c r="C8" s="3" t="str">
        <f>"H40, H39, H38, H37, H36, H35, H34 Nolu kazıkların kotuna göre kesim işlemi tamamlandı. (Gündüz)"</f>
        <v>H40, H39, H38, H37, H36, H35, H34 Nolu kazıkların kotuna göre kesim işlemi tamamlandı. (Gündüz)</v>
      </c>
      <c r="D8" s="2" t="s">
        <v>7</v>
      </c>
      <c r="E8" s="2">
        <v>7</v>
      </c>
      <c r="F8" s="2">
        <v>611</v>
      </c>
      <c r="I8" s="2" t="s">
        <v>166</v>
      </c>
      <c r="J8" s="2" t="s">
        <v>20</v>
      </c>
      <c r="K8" s="27" t="s">
        <v>189</v>
      </c>
      <c r="L8" s="27" t="s">
        <v>171</v>
      </c>
      <c r="M8" s="27" t="s">
        <v>175</v>
      </c>
      <c r="N8" s="28" t="e">
        <f>INDEX(#REF!,MATCH(K8,#REF!,0),1)+IFERROR(INDEX(#REF!,MATCH(L8,#REF!,0),1),)+IFERROR(INDEX(#REF!,MATCH(M8,#REF!,0),1),)</f>
        <v>#REF!</v>
      </c>
      <c r="O8" s="29" t="e">
        <f>INDEX(#REF!,MATCH(K8,#REF!,0),1)+IFERROR(INDEX(#REF!,MATCH(L8,#REF!,0),1),)+IFERROR(INDEX(#REF!,MATCH(M8,#REF!,0),1),)</f>
        <v>#REF!</v>
      </c>
    </row>
    <row r="9" spans="2:15" ht="16" x14ac:dyDescent="0.2">
      <c r="B9" s="2" t="s">
        <v>14</v>
      </c>
      <c r="C9" s="3" t="s">
        <v>44</v>
      </c>
      <c r="D9" s="2" t="s">
        <v>7</v>
      </c>
      <c r="E9" s="2">
        <v>6</v>
      </c>
      <c r="F9" s="2">
        <v>373</v>
      </c>
      <c r="I9" s="2" t="s">
        <v>108</v>
      </c>
      <c r="J9" s="2" t="s">
        <v>7</v>
      </c>
      <c r="K9" s="27" t="s">
        <v>168</v>
      </c>
      <c r="N9" s="28" t="e">
        <f>INDEX(#REF!,MATCH(K9,#REF!,0),1)+IFERROR(INDEX(#REF!,MATCH(L9,#REF!,0),1),)+IFERROR(INDEX(#REF!,MATCH(M9,#REF!,0),1),)</f>
        <v>#REF!</v>
      </c>
      <c r="O9" s="29" t="e">
        <f>INDEX(#REF!,MATCH(K9,#REF!,0),1)+IFERROR(INDEX(#REF!,MATCH(L9,#REF!,0),1),)+IFERROR(INDEX(#REF!,MATCH(M9,#REF!,0),1),)</f>
        <v>#REF!</v>
      </c>
    </row>
    <row r="10" spans="2:15" ht="16" x14ac:dyDescent="0.2">
      <c r="B10" s="2" t="s">
        <v>13</v>
      </c>
      <c r="C10" s="3" t="s">
        <v>46</v>
      </c>
      <c r="D10" s="2" t="s">
        <v>7</v>
      </c>
      <c r="E10" s="2">
        <v>1</v>
      </c>
      <c r="F10" s="2">
        <v>612</v>
      </c>
      <c r="I10" s="2" t="s">
        <v>95</v>
      </c>
      <c r="J10" s="2" t="s">
        <v>7</v>
      </c>
      <c r="K10" s="27" t="s">
        <v>190</v>
      </c>
      <c r="L10" s="27" t="s">
        <v>191</v>
      </c>
      <c r="M10" s="27" t="s">
        <v>197</v>
      </c>
      <c r="N10" s="28" t="e">
        <f>INDEX(#REF!,MATCH(K10,#REF!,0),1)+IFERROR(INDEX(#REF!,MATCH(L10,#REF!,0),1),)+IFERROR(INDEX(#REF!,MATCH(M10,#REF!,0),1),)</f>
        <v>#REF!</v>
      </c>
      <c r="O10" s="29" t="e">
        <f>INDEX(#REF!,MATCH(K10,#REF!,0),1)+IFERROR(INDEX(#REF!,MATCH(L10,#REF!,0),1),)+IFERROR(INDEX(#REF!,MATCH(M10,#REF!,0),1),)</f>
        <v>#REF!</v>
      </c>
    </row>
    <row r="11" spans="2:15" ht="32" x14ac:dyDescent="0.2">
      <c r="B11" s="2" t="s">
        <v>26</v>
      </c>
      <c r="C11" s="3" t="s">
        <v>61</v>
      </c>
      <c r="D11" s="2" t="s">
        <v>7</v>
      </c>
      <c r="E11" s="2">
        <v>1</v>
      </c>
      <c r="F11" s="2">
        <v>86</v>
      </c>
      <c r="I11" s="2" t="s">
        <v>54</v>
      </c>
      <c r="J11" s="2" t="s">
        <v>20</v>
      </c>
      <c r="K11" s="27" t="s">
        <v>195</v>
      </c>
      <c r="L11" s="27" t="s">
        <v>196</v>
      </c>
      <c r="M11" s="27" t="s">
        <v>177</v>
      </c>
      <c r="N11" s="28" t="e">
        <f>INDEX(#REF!,MATCH(K11,#REF!,0),1)+IFERROR(INDEX(#REF!,MATCH(L11,#REF!,0),1),)+IFERROR(INDEX(#REF!,MATCH(M11,#REF!,0),1),)</f>
        <v>#REF!</v>
      </c>
      <c r="O11" s="29" t="e">
        <f>INDEX(#REF!,MATCH(K11,#REF!,0),1)+IFERROR(INDEX(#REF!,MATCH(L11,#REF!,0),1),)+IFERROR(INDEX(#REF!,MATCH(M11,#REF!,0),1),)</f>
        <v>#REF!</v>
      </c>
    </row>
    <row r="12" spans="2:15" ht="32" x14ac:dyDescent="0.2">
      <c r="B12" s="3" t="s">
        <v>11</v>
      </c>
      <c r="C12" s="3" t="s">
        <v>28</v>
      </c>
      <c r="D12" s="2" t="s">
        <v>7</v>
      </c>
      <c r="E12" s="2">
        <v>4</v>
      </c>
      <c r="F12" s="2">
        <v>244</v>
      </c>
      <c r="I12" s="2" t="s">
        <v>138</v>
      </c>
      <c r="J12" s="2" t="s">
        <v>7</v>
      </c>
      <c r="K12" s="27" t="s">
        <v>192</v>
      </c>
      <c r="L12" s="27" t="s">
        <v>172</v>
      </c>
      <c r="M12" s="27" t="s">
        <v>174</v>
      </c>
      <c r="N12" s="28" t="e">
        <f>INDEX(#REF!,MATCH(K12,#REF!,0),1)+IFERROR(INDEX(#REF!,MATCH(L12,#REF!,0),1),)+IFERROR(INDEX(#REF!,MATCH(M12,#REF!,0),1),)</f>
        <v>#REF!</v>
      </c>
      <c r="O12" s="29" t="e">
        <f>INDEX(#REF!,MATCH(K12,#REF!,0),1)+IFERROR(INDEX(#REF!,MATCH(L12,#REF!,0),1),)+IFERROR(INDEX(#REF!,MATCH(M12,#REF!,0),1),)</f>
        <v>#REF!</v>
      </c>
    </row>
    <row r="13" spans="2:15" ht="32" x14ac:dyDescent="0.2">
      <c r="B13" s="3" t="s">
        <v>12</v>
      </c>
      <c r="C13" s="3" t="s">
        <v>29</v>
      </c>
      <c r="D13" s="2" t="s">
        <v>7</v>
      </c>
      <c r="E13" s="2">
        <v>4</v>
      </c>
      <c r="F13" s="2">
        <v>238</v>
      </c>
      <c r="I13" s="2" t="s">
        <v>81</v>
      </c>
      <c r="J13" s="2" t="s">
        <v>7</v>
      </c>
      <c r="K13" s="27" t="s">
        <v>169</v>
      </c>
      <c r="N13" s="28" t="e">
        <f>INDEX(#REF!,MATCH(K13,#REF!,0),1)+IFERROR(INDEX(#REF!,MATCH(L13,#REF!,0),1),)+IFERROR(INDEX(#REF!,MATCH(M13,#REF!,0),1),)</f>
        <v>#REF!</v>
      </c>
      <c r="O13" s="29" t="e">
        <f>INDEX(#REF!,MATCH(K13,#REF!,0),1)+IFERROR(INDEX(#REF!,MATCH(L13,#REF!,0),1),)+IFERROR(INDEX(#REF!,MATCH(M13,#REF!,0),1),)</f>
        <v>#REF!</v>
      </c>
    </row>
    <row r="14" spans="2:15" x14ac:dyDescent="0.2">
      <c r="B14" s="2" t="s">
        <v>18</v>
      </c>
      <c r="C14" s="2" t="str">
        <f>E14&amp;" adet özel tip prekast tp perde betonu döküldü. (Gece)"</f>
        <v>1 adet özel tip prekast tp perde betonu döküldü. (Gece)</v>
      </c>
      <c r="D14" s="2" t="s">
        <v>7</v>
      </c>
      <c r="E14" s="2">
        <v>1</v>
      </c>
      <c r="F14" s="2">
        <v>50</v>
      </c>
      <c r="I14" s="2" t="s">
        <v>83</v>
      </c>
      <c r="J14" s="2" t="s">
        <v>7</v>
      </c>
      <c r="K14" s="27" t="s">
        <v>170</v>
      </c>
      <c r="N14" s="28" t="e">
        <f>INDEX(#REF!,MATCH(K14,#REF!,0),1)+IFERROR(INDEX(#REF!,MATCH(L14,#REF!,0),1),)+IFERROR(INDEX(#REF!,MATCH(M14,#REF!,0),1),)</f>
        <v>#REF!</v>
      </c>
      <c r="O14" s="29" t="e">
        <f>INDEX(#REF!,MATCH(K14,#REF!,0),1)+IFERROR(INDEX(#REF!,MATCH(L14,#REF!,0),1),)+IFERROR(INDEX(#REF!,MATCH(M14,#REF!,0),1),)</f>
        <v>#REF!</v>
      </c>
    </row>
    <row r="15" spans="2:15" ht="32" x14ac:dyDescent="0.2">
      <c r="B15" s="2" t="s">
        <v>22</v>
      </c>
      <c r="C15" s="3" t="s">
        <v>33</v>
      </c>
      <c r="D15" s="2" t="s">
        <v>7</v>
      </c>
      <c r="E15" s="2">
        <v>1</v>
      </c>
      <c r="F15" s="2">
        <v>288</v>
      </c>
      <c r="I15" s="2" t="s">
        <v>40</v>
      </c>
      <c r="J15" s="2" t="s">
        <v>39</v>
      </c>
      <c r="K15" s="27" t="s">
        <v>193</v>
      </c>
      <c r="L15" s="27" t="s">
        <v>194</v>
      </c>
      <c r="M15" s="27" t="s">
        <v>176</v>
      </c>
      <c r="N15" s="28" t="e">
        <f>INDEX(#REF!,MATCH(K15,#REF!,0),1)+IFERROR(INDEX(#REF!,MATCH(L15,#REF!,0),1),)+IFERROR(INDEX(#REF!,MATCH(M15,#REF!,0),1),)</f>
        <v>#REF!</v>
      </c>
      <c r="O15" s="29" t="e">
        <f>INDEX(#REF!,MATCH(K15,#REF!,0),1)+IFERROR(INDEX(#REF!,MATCH(L15,#REF!,0),1),)+IFERROR(INDEX(#REF!,MATCH(M15,#REF!,0),1),)</f>
        <v>#REF!</v>
      </c>
    </row>
    <row r="16" spans="2:15" ht="16" x14ac:dyDescent="0.2">
      <c r="B16" s="2" t="s">
        <v>23</v>
      </c>
      <c r="C16" s="3" t="s">
        <v>32</v>
      </c>
      <c r="D16" s="2" t="s">
        <v>24</v>
      </c>
      <c r="E16" s="2">
        <v>1</v>
      </c>
      <c r="F16" s="2">
        <v>145</v>
      </c>
    </row>
    <row r="17" spans="2:6" ht="32" x14ac:dyDescent="0.2">
      <c r="B17" s="2" t="s">
        <v>25</v>
      </c>
      <c r="C17" s="3" t="s">
        <v>34</v>
      </c>
      <c r="D17" s="2" t="s">
        <v>24</v>
      </c>
      <c r="E17" s="2">
        <v>0</v>
      </c>
      <c r="F17" s="2">
        <v>144</v>
      </c>
    </row>
    <row r="18" spans="2:6" x14ac:dyDescent="0.2">
      <c r="B18" s="2" t="s">
        <v>19</v>
      </c>
      <c r="C18" s="2" t="s">
        <v>51</v>
      </c>
      <c r="D18" s="2" t="s">
        <v>20</v>
      </c>
      <c r="E18" s="2">
        <v>97.5</v>
      </c>
      <c r="F18" s="2">
        <f>97.5+22.5+285+155+27+50+30+165+175+150+112.5+142.5+45+35+30+160.5+71+3546.5</f>
        <v>5300</v>
      </c>
    </row>
    <row r="19" spans="2:6" ht="16" x14ac:dyDescent="0.2">
      <c r="B19" s="21" t="s">
        <v>35</v>
      </c>
      <c r="C19" s="3" t="s">
        <v>165</v>
      </c>
      <c r="D19" s="2" t="s">
        <v>39</v>
      </c>
      <c r="F19" s="2">
        <f>30+50+50+50+14238+30</f>
        <v>14448</v>
      </c>
    </row>
    <row r="20" spans="2:6" ht="32" x14ac:dyDescent="0.2">
      <c r="B20" s="2" t="s">
        <v>30</v>
      </c>
      <c r="C20" s="3" t="s">
        <v>140</v>
      </c>
      <c r="D20" s="2" t="s">
        <v>7</v>
      </c>
      <c r="E20" s="2">
        <v>0</v>
      </c>
      <c r="F20" s="2">
        <v>161</v>
      </c>
    </row>
    <row r="21" spans="2:6" ht="16" x14ac:dyDescent="0.2">
      <c r="B21" s="2" t="s">
        <v>141</v>
      </c>
      <c r="C21" s="3" t="s">
        <v>144</v>
      </c>
      <c r="D21" s="2" t="s">
        <v>7</v>
      </c>
      <c r="E21" s="2">
        <v>4</v>
      </c>
      <c r="F21" s="2">
        <v>48</v>
      </c>
    </row>
    <row r="22" spans="2:6" ht="32" x14ac:dyDescent="0.2">
      <c r="B22" s="2" t="s">
        <v>146</v>
      </c>
      <c r="C22" s="3" t="s">
        <v>147</v>
      </c>
      <c r="D22" s="2" t="s">
        <v>7</v>
      </c>
      <c r="E22" s="2">
        <v>0</v>
      </c>
      <c r="F22" s="2">
        <v>47</v>
      </c>
    </row>
    <row r="23" spans="2:6" ht="32" x14ac:dyDescent="0.2">
      <c r="B23" s="10" t="s">
        <v>54</v>
      </c>
      <c r="C23" s="23" t="s">
        <v>159</v>
      </c>
      <c r="D23" s="2" t="s">
        <v>20</v>
      </c>
      <c r="E23" s="2">
        <f>6*17</f>
        <v>102</v>
      </c>
      <c r="F23" s="2">
        <f>102+136+561+799+476+136+663+459+221+255+748+85+128492</f>
        <v>133133</v>
      </c>
    </row>
    <row r="24" spans="2:6" ht="16" x14ac:dyDescent="0.2">
      <c r="B24" s="10" t="s">
        <v>80</v>
      </c>
      <c r="C24" s="3" t="s">
        <v>131</v>
      </c>
      <c r="D24" s="2" t="s">
        <v>20</v>
      </c>
      <c r="E24" s="2">
        <v>0</v>
      </c>
      <c r="F24" s="2">
        <v>4878</v>
      </c>
    </row>
    <row r="25" spans="2:6" ht="16" x14ac:dyDescent="0.2">
      <c r="B25" s="17" t="s">
        <v>118</v>
      </c>
      <c r="C25" s="3" t="s">
        <v>130</v>
      </c>
      <c r="D25" s="2" t="s">
        <v>121</v>
      </c>
      <c r="E25" s="2">
        <v>0</v>
      </c>
      <c r="F25" s="2">
        <f>633.1+91.2+797.69+104+701+77.45+103.1+677+353.1+102.6+312.9+416+387+233.05+548+156+580.25+184+7166*2</f>
        <v>20789.439999999999</v>
      </c>
    </row>
    <row r="26" spans="2:6" ht="32" x14ac:dyDescent="0.2">
      <c r="B26" s="2" t="s">
        <v>78</v>
      </c>
      <c r="C26" s="3" t="s">
        <v>84</v>
      </c>
      <c r="D26" s="2" t="s">
        <v>20</v>
      </c>
      <c r="E26" s="2">
        <v>0</v>
      </c>
      <c r="F26" s="2">
        <f>228+216+480</f>
        <v>924</v>
      </c>
    </row>
    <row r="27" spans="2:6" ht="16" x14ac:dyDescent="0.2">
      <c r="B27" s="9" t="s">
        <v>31</v>
      </c>
      <c r="C27" s="3" t="s">
        <v>115</v>
      </c>
      <c r="D27" s="2" t="s">
        <v>7</v>
      </c>
      <c r="E27" s="2">
        <v>2</v>
      </c>
      <c r="F27" s="2">
        <v>369</v>
      </c>
    </row>
    <row r="28" spans="2:6" ht="16" x14ac:dyDescent="0.2">
      <c r="B28" s="2" t="s">
        <v>93</v>
      </c>
      <c r="C28" s="3" t="s">
        <v>117</v>
      </c>
      <c r="D28" s="2" t="s">
        <v>7</v>
      </c>
      <c r="E28" s="2">
        <v>3</v>
      </c>
      <c r="F28" s="2">
        <v>122</v>
      </c>
    </row>
    <row r="29" spans="2:6" ht="16" x14ac:dyDescent="0.2">
      <c r="B29" s="2" t="s">
        <v>37</v>
      </c>
      <c r="C29" s="3" t="s">
        <v>104</v>
      </c>
      <c r="D29" s="2" t="s">
        <v>7</v>
      </c>
      <c r="E29" s="2">
        <v>1</v>
      </c>
    </row>
    <row r="30" spans="2:6" ht="16" x14ac:dyDescent="0.2">
      <c r="B30" s="21" t="s">
        <v>38</v>
      </c>
      <c r="C30" s="23" t="s">
        <v>157</v>
      </c>
      <c r="D30" s="2" t="s">
        <v>7</v>
      </c>
      <c r="E30" s="21"/>
      <c r="F30" s="2">
        <f>3+366</f>
        <v>369</v>
      </c>
    </row>
    <row r="31" spans="2:6" ht="16" x14ac:dyDescent="0.2">
      <c r="B31" s="2" t="s">
        <v>77</v>
      </c>
      <c r="C31" s="3" t="s">
        <v>92</v>
      </c>
      <c r="D31" s="2" t="s">
        <v>7</v>
      </c>
      <c r="E31" s="2">
        <v>4</v>
      </c>
    </row>
    <row r="32" spans="2:6" ht="48" x14ac:dyDescent="0.2">
      <c r="B32" s="11" t="s">
        <v>55</v>
      </c>
      <c r="C32" s="25" t="s">
        <v>163</v>
      </c>
      <c r="D32" s="2" t="s">
        <v>7</v>
      </c>
      <c r="E32" s="7">
        <v>1</v>
      </c>
      <c r="F32" s="2">
        <v>367</v>
      </c>
    </row>
    <row r="33" spans="2:6" ht="16" x14ac:dyDescent="0.2">
      <c r="B33" s="2" t="s">
        <v>59</v>
      </c>
      <c r="C33" s="6" t="s">
        <v>160</v>
      </c>
      <c r="D33" s="2" t="s">
        <v>7</v>
      </c>
      <c r="E33" s="2">
        <v>3</v>
      </c>
      <c r="F33" s="2">
        <f>363+3</f>
        <v>366</v>
      </c>
    </row>
    <row r="34" spans="2:6" ht="16" x14ac:dyDescent="0.2">
      <c r="B34" s="2" t="s">
        <v>97</v>
      </c>
      <c r="C34" s="6" t="s">
        <v>143</v>
      </c>
      <c r="D34" s="2" t="s">
        <v>7</v>
      </c>
      <c r="E34" s="2">
        <v>1</v>
      </c>
      <c r="F34" s="2">
        <v>136</v>
      </c>
    </row>
    <row r="35" spans="2:6" ht="32" x14ac:dyDescent="0.2">
      <c r="B35" s="2" t="s">
        <v>45</v>
      </c>
      <c r="C35" s="3" t="s">
        <v>100</v>
      </c>
      <c r="D35" s="2" t="s">
        <v>7</v>
      </c>
      <c r="E35" s="2">
        <v>2</v>
      </c>
      <c r="F35" s="2">
        <v>85</v>
      </c>
    </row>
    <row r="36" spans="2:6" ht="16" x14ac:dyDescent="0.2">
      <c r="B36" s="2" t="s">
        <v>49</v>
      </c>
      <c r="C36" s="3" t="s">
        <v>75</v>
      </c>
      <c r="D36" s="2" t="s">
        <v>7</v>
      </c>
      <c r="E36" s="2">
        <v>1</v>
      </c>
    </row>
    <row r="37" spans="2:6" ht="32" x14ac:dyDescent="0.2">
      <c r="B37" s="2" t="s">
        <v>47</v>
      </c>
      <c r="C37" s="3" t="s">
        <v>103</v>
      </c>
      <c r="D37" s="2" t="s">
        <v>7</v>
      </c>
      <c r="E37" s="2">
        <v>5</v>
      </c>
      <c r="F37" s="2">
        <v>85</v>
      </c>
    </row>
    <row r="38" spans="2:6" ht="16" x14ac:dyDescent="0.2">
      <c r="B38" s="2" t="s">
        <v>76</v>
      </c>
      <c r="C38" s="3" t="s">
        <v>86</v>
      </c>
      <c r="D38" s="2" t="s">
        <v>7</v>
      </c>
    </row>
    <row r="39" spans="2:6" ht="16" x14ac:dyDescent="0.2">
      <c r="B39" s="2" t="s">
        <v>53</v>
      </c>
      <c r="C39" s="3" t="s">
        <v>105</v>
      </c>
      <c r="D39" s="2" t="s">
        <v>7</v>
      </c>
      <c r="E39" s="2">
        <v>2</v>
      </c>
      <c r="F39" s="2">
        <v>85</v>
      </c>
    </row>
    <row r="40" spans="2:6" ht="16" x14ac:dyDescent="0.2">
      <c r="B40" s="2" t="s">
        <v>56</v>
      </c>
      <c r="C40" s="3" t="s">
        <v>106</v>
      </c>
      <c r="D40" s="2" t="s">
        <v>7</v>
      </c>
      <c r="E40" s="2">
        <v>2</v>
      </c>
      <c r="F40" s="2">
        <v>85</v>
      </c>
    </row>
    <row r="41" spans="2:6" ht="32" x14ac:dyDescent="0.2">
      <c r="B41" s="2" t="s">
        <v>58</v>
      </c>
      <c r="C41" s="3" t="s">
        <v>79</v>
      </c>
      <c r="D41" s="2" t="s">
        <v>7</v>
      </c>
      <c r="E41" s="2">
        <v>8</v>
      </c>
      <c r="F41" s="2">
        <v>64</v>
      </c>
    </row>
    <row r="42" spans="2:6" ht="16" x14ac:dyDescent="0.2">
      <c r="B42" s="2" t="s">
        <v>48</v>
      </c>
      <c r="C42" s="3" t="s">
        <v>69</v>
      </c>
      <c r="D42" s="2" t="s">
        <v>7</v>
      </c>
      <c r="E42" s="2">
        <v>1</v>
      </c>
      <c r="F42" s="2">
        <v>24</v>
      </c>
    </row>
    <row r="43" spans="2:6" ht="16" x14ac:dyDescent="0.2">
      <c r="B43" s="2" t="s">
        <v>50</v>
      </c>
      <c r="C43" s="3" t="s">
        <v>71</v>
      </c>
      <c r="D43" s="2" t="s">
        <v>7</v>
      </c>
      <c r="E43" s="2">
        <v>1</v>
      </c>
      <c r="F43" s="2">
        <v>24</v>
      </c>
    </row>
    <row r="44" spans="2:6" ht="16" x14ac:dyDescent="0.2">
      <c r="B44" s="2" t="s">
        <v>52</v>
      </c>
      <c r="C44" s="3" t="s">
        <v>70</v>
      </c>
      <c r="D44" s="2" t="s">
        <v>7</v>
      </c>
      <c r="E44" s="2">
        <v>1</v>
      </c>
      <c r="F44" s="2">
        <v>24</v>
      </c>
    </row>
    <row r="45" spans="2:6" ht="32" x14ac:dyDescent="0.2">
      <c r="B45" s="2" t="s">
        <v>62</v>
      </c>
      <c r="C45" s="3" t="s">
        <v>87</v>
      </c>
      <c r="D45" s="2" t="s">
        <v>7</v>
      </c>
      <c r="E45" s="2">
        <v>3</v>
      </c>
      <c r="F45" s="2">
        <v>465</v>
      </c>
    </row>
    <row r="46" spans="2:6" ht="16" x14ac:dyDescent="0.2">
      <c r="B46" s="2" t="s">
        <v>63</v>
      </c>
      <c r="C46" s="3" t="s">
        <v>64</v>
      </c>
      <c r="D46" s="2" t="s">
        <v>7</v>
      </c>
      <c r="E46" s="2">
        <v>1</v>
      </c>
      <c r="F46" s="2">
        <v>24</v>
      </c>
    </row>
    <row r="47" spans="2:6" ht="32" x14ac:dyDescent="0.2">
      <c r="B47" s="2" t="s">
        <v>65</v>
      </c>
      <c r="C47" s="3" t="s">
        <v>66</v>
      </c>
      <c r="D47" s="2" t="s">
        <v>7</v>
      </c>
      <c r="E47" s="2">
        <v>17</v>
      </c>
      <c r="F47" s="2">
        <f>17+89</f>
        <v>106</v>
      </c>
    </row>
    <row r="48" spans="2:6" ht="16" x14ac:dyDescent="0.2">
      <c r="B48" s="2" t="s">
        <v>67</v>
      </c>
      <c r="C48" s="3" t="s">
        <v>72</v>
      </c>
      <c r="D48" s="2" t="s">
        <v>7</v>
      </c>
    </row>
    <row r="49" spans="2:6" ht="16" x14ac:dyDescent="0.2">
      <c r="B49" s="2" t="s">
        <v>85</v>
      </c>
      <c r="C49" s="3" t="s">
        <v>88</v>
      </c>
      <c r="D49" s="2" t="s">
        <v>20</v>
      </c>
      <c r="E49" s="2">
        <v>29</v>
      </c>
      <c r="F49" s="2">
        <f>29+111+172.5+175</f>
        <v>487.5</v>
      </c>
    </row>
    <row r="50" spans="2:6" ht="16" x14ac:dyDescent="0.2">
      <c r="B50" s="2" t="s">
        <v>116</v>
      </c>
      <c r="C50" s="3" t="s">
        <v>145</v>
      </c>
      <c r="D50" s="2" t="s">
        <v>7</v>
      </c>
      <c r="E50" s="2">
        <v>7</v>
      </c>
      <c r="F50" s="2">
        <v>366</v>
      </c>
    </row>
    <row r="51" spans="2:6" ht="32" x14ac:dyDescent="0.2">
      <c r="B51" s="2" t="s">
        <v>81</v>
      </c>
      <c r="C51" s="23" t="s">
        <v>156</v>
      </c>
      <c r="D51" s="2" t="s">
        <v>7</v>
      </c>
      <c r="E51" s="2">
        <v>3</v>
      </c>
      <c r="F51" s="2">
        <f>61+3</f>
        <v>64</v>
      </c>
    </row>
    <row r="52" spans="2:6" ht="16" x14ac:dyDescent="0.2">
      <c r="B52" s="9" t="s">
        <v>90</v>
      </c>
      <c r="C52" s="3" t="s">
        <v>155</v>
      </c>
      <c r="D52" s="2" t="s">
        <v>7</v>
      </c>
      <c r="E52" s="2">
        <v>3</v>
      </c>
      <c r="F52" s="2">
        <f>178+3</f>
        <v>181</v>
      </c>
    </row>
    <row r="53" spans="2:6" ht="32" x14ac:dyDescent="0.2">
      <c r="B53" s="9" t="s">
        <v>91</v>
      </c>
      <c r="C53" s="3" t="s">
        <v>114</v>
      </c>
      <c r="D53" s="2" t="s">
        <v>7</v>
      </c>
      <c r="E53" s="2">
        <v>4</v>
      </c>
    </row>
    <row r="54" spans="2:6" ht="16" x14ac:dyDescent="0.2">
      <c r="B54" s="9" t="s">
        <v>94</v>
      </c>
      <c r="C54" s="3" t="s">
        <v>150</v>
      </c>
      <c r="D54" s="2" t="s">
        <v>7</v>
      </c>
      <c r="E54" s="2">
        <v>2</v>
      </c>
      <c r="F54" s="2">
        <v>177</v>
      </c>
    </row>
    <row r="55" spans="2:6" ht="32" x14ac:dyDescent="0.2">
      <c r="B55" s="9" t="s">
        <v>101</v>
      </c>
      <c r="C55" s="3" t="s">
        <v>119</v>
      </c>
      <c r="D55" s="2" t="s">
        <v>7</v>
      </c>
      <c r="E55" s="2">
        <v>0</v>
      </c>
      <c r="F55" s="2">
        <v>13</v>
      </c>
    </row>
    <row r="56" spans="2:6" ht="16" x14ac:dyDescent="0.2">
      <c r="B56" s="9" t="s">
        <v>102</v>
      </c>
      <c r="C56" s="3" t="s">
        <v>120</v>
      </c>
      <c r="D56" s="2" t="s">
        <v>7</v>
      </c>
      <c r="E56" s="2">
        <v>1</v>
      </c>
      <c r="F56" s="2">
        <v>14</v>
      </c>
    </row>
    <row r="57" spans="2:6" ht="16" x14ac:dyDescent="0.2">
      <c r="B57" s="11" t="s">
        <v>95</v>
      </c>
      <c r="C57" s="3" t="s">
        <v>112</v>
      </c>
      <c r="D57" s="2" t="s">
        <v>7</v>
      </c>
      <c r="E57" s="2">
        <v>1</v>
      </c>
      <c r="F57" s="2">
        <v>68</v>
      </c>
    </row>
    <row r="58" spans="2:6" ht="16" x14ac:dyDescent="0.2">
      <c r="B58" s="11" t="s">
        <v>125</v>
      </c>
      <c r="C58" s="3" t="s">
        <v>126</v>
      </c>
      <c r="D58" s="2" t="s">
        <v>7</v>
      </c>
      <c r="E58" s="2">
        <v>0</v>
      </c>
      <c r="F58" s="2">
        <v>0</v>
      </c>
    </row>
    <row r="59" spans="2:6" ht="16" x14ac:dyDescent="0.2">
      <c r="B59" s="12" t="s">
        <v>107</v>
      </c>
      <c r="C59" s="3" t="s">
        <v>139</v>
      </c>
      <c r="D59" s="2" t="s">
        <v>7</v>
      </c>
      <c r="E59" s="2">
        <v>9</v>
      </c>
      <c r="F59" s="2">
        <v>232</v>
      </c>
    </row>
    <row r="60" spans="2:6" ht="16" x14ac:dyDescent="0.2">
      <c r="B60" s="10" t="s">
        <v>82</v>
      </c>
      <c r="C60" s="23" t="s">
        <v>152</v>
      </c>
      <c r="D60" s="2" t="s">
        <v>7</v>
      </c>
      <c r="E60" s="21">
        <v>1</v>
      </c>
      <c r="F60" s="21">
        <v>176</v>
      </c>
    </row>
    <row r="61" spans="2:6" ht="32" x14ac:dyDescent="0.2">
      <c r="B61" s="13" t="s">
        <v>83</v>
      </c>
      <c r="C61" s="23" t="s">
        <v>153</v>
      </c>
      <c r="D61" s="2" t="s">
        <v>7</v>
      </c>
      <c r="E61" s="21">
        <v>1</v>
      </c>
      <c r="F61" s="21">
        <f>168+3+1</f>
        <v>172</v>
      </c>
    </row>
    <row r="62" spans="2:6" ht="32" x14ac:dyDescent="0.2">
      <c r="B62" s="22" t="s">
        <v>123</v>
      </c>
      <c r="C62" s="3" t="s">
        <v>161</v>
      </c>
      <c r="D62" s="2" t="s">
        <v>124</v>
      </c>
      <c r="E62" s="2">
        <v>15</v>
      </c>
      <c r="F62" s="2">
        <f>15+15+15+15+20+6.5+6.5+6.5+6.5+6.5+6.5+6.5+6.5+6.5+6.5+6.5+6.5+6.5+6.5+6.5+6.5-24.8+4+8+10+10+10+10+14+8+10+12+12+14+13+11+10+14+14+14+12+12+12+11+8+8+15+10+10+18+8+20+20+22+20+10+24+8+20+16+12+16+17+6+31.2+12+6+6+6+6+6+6+6+6+6+6+6+6+6+6+6+6+6+6+6+6+6+6+6+6+2181.6</f>
        <v>3061</v>
      </c>
    </row>
    <row r="63" spans="2:6" ht="16" x14ac:dyDescent="0.2">
      <c r="B63" s="14" t="s">
        <v>122</v>
      </c>
      <c r="C63" s="3" t="s">
        <v>127</v>
      </c>
      <c r="D63" s="2" t="s">
        <v>7</v>
      </c>
      <c r="E63" s="2">
        <v>5</v>
      </c>
      <c r="F63" s="2">
        <v>262</v>
      </c>
    </row>
    <row r="64" spans="2:6" ht="16" x14ac:dyDescent="0.2">
      <c r="B64" s="15" t="s">
        <v>128</v>
      </c>
      <c r="C64" s="23" t="s">
        <v>158</v>
      </c>
      <c r="D64" s="2" t="s">
        <v>7</v>
      </c>
      <c r="E64" s="2">
        <v>7</v>
      </c>
      <c r="F64" s="2">
        <f>6+174+7</f>
        <v>187</v>
      </c>
    </row>
    <row r="65" spans="2:8" ht="32" x14ac:dyDescent="0.2">
      <c r="B65" s="16" t="s">
        <v>129</v>
      </c>
      <c r="C65" s="3" t="s">
        <v>148</v>
      </c>
      <c r="D65" s="2" t="s">
        <v>39</v>
      </c>
      <c r="E65" s="2">
        <f>3233-3102</f>
        <v>131</v>
      </c>
      <c r="F65" s="2">
        <v>3233</v>
      </c>
    </row>
    <row r="66" spans="2:8" ht="16" x14ac:dyDescent="0.2">
      <c r="B66" s="18" t="s">
        <v>133</v>
      </c>
      <c r="C66" s="3" t="s">
        <v>198</v>
      </c>
      <c r="D66" s="2" t="s">
        <v>39</v>
      </c>
      <c r="E66" s="2">
        <v>0</v>
      </c>
      <c r="F66" s="2">
        <v>3037</v>
      </c>
    </row>
    <row r="67" spans="2:8" ht="68.25" customHeight="1" x14ac:dyDescent="0.2">
      <c r="B67" s="19" t="s">
        <v>132</v>
      </c>
      <c r="C67" s="23" t="s">
        <v>164</v>
      </c>
      <c r="F67" s="2">
        <f>301+242+266+60+77+56+82+56+84+63+5507+182</f>
        <v>6976</v>
      </c>
    </row>
    <row r="68" spans="2:8" ht="16" x14ac:dyDescent="0.2">
      <c r="B68" s="17" t="s">
        <v>135</v>
      </c>
      <c r="C68" s="26" t="s">
        <v>162</v>
      </c>
      <c r="D68" s="2" t="s">
        <v>136</v>
      </c>
      <c r="E68" s="20">
        <v>0</v>
      </c>
      <c r="F68" s="20">
        <v>0.443</v>
      </c>
    </row>
    <row r="69" spans="2:8" ht="16" x14ac:dyDescent="0.2">
      <c r="B69" s="21" t="s">
        <v>137</v>
      </c>
      <c r="C69" s="3" t="s">
        <v>142</v>
      </c>
      <c r="D69" s="2" t="s">
        <v>7</v>
      </c>
      <c r="E69" s="2">
        <v>0</v>
      </c>
      <c r="F69" s="2">
        <v>38</v>
      </c>
    </row>
    <row r="70" spans="2:8" ht="32" x14ac:dyDescent="0.2">
      <c r="B70" s="23" t="s">
        <v>149</v>
      </c>
      <c r="C70" s="24" t="s">
        <v>154</v>
      </c>
      <c r="D70" s="21" t="s">
        <v>7</v>
      </c>
      <c r="E70" s="21"/>
      <c r="F70" s="21">
        <v>17</v>
      </c>
    </row>
    <row r="71" spans="2:8" x14ac:dyDescent="0.2">
      <c r="C71" s="2" t="s">
        <v>15</v>
      </c>
      <c r="E71" s="2">
        <v>3.5</v>
      </c>
      <c r="F71" s="2">
        <v>1507.5</v>
      </c>
    </row>
    <row r="72" spans="2:8" x14ac:dyDescent="0.2">
      <c r="C72" s="2" t="s">
        <v>16</v>
      </c>
      <c r="E72" s="2">
        <v>6</v>
      </c>
      <c r="F72" s="2">
        <f>6+120+60+120+10+40+66+45+30+107+22.5+68.5+120+93+100.5+4652.5</f>
        <v>5661</v>
      </c>
    </row>
    <row r="73" spans="2:8" x14ac:dyDescent="0.2">
      <c r="B73" s="2" t="s">
        <v>151</v>
      </c>
      <c r="C73" s="21" t="s">
        <v>21</v>
      </c>
      <c r="D73" s="2" t="s">
        <v>20</v>
      </c>
      <c r="E73" s="21">
        <v>77</v>
      </c>
      <c r="F73" s="2">
        <f>301+29+111+172.5+175+F18-F81+182+252+172+77</f>
        <v>6413.5</v>
      </c>
    </row>
    <row r="74" spans="2:8" x14ac:dyDescent="0.2">
      <c r="C74" s="2" t="s">
        <v>109</v>
      </c>
      <c r="E74" s="2">
        <v>9</v>
      </c>
      <c r="F74" s="2">
        <f>9+10+16+16+16+12+1435</f>
        <v>1514</v>
      </c>
    </row>
    <row r="75" spans="2:8" x14ac:dyDescent="0.2">
      <c r="C75" s="2" t="s">
        <v>110</v>
      </c>
    </row>
    <row r="76" spans="2:8" x14ac:dyDescent="0.2">
      <c r="C76" s="2" t="s">
        <v>27</v>
      </c>
      <c r="E76" s="2">
        <v>7.5</v>
      </c>
      <c r="F76" s="2">
        <f>7.5+10+15+52.5+94</f>
        <v>179</v>
      </c>
    </row>
    <row r="77" spans="2:8" x14ac:dyDescent="0.2">
      <c r="C77" s="2" t="s">
        <v>98</v>
      </c>
      <c r="E77" s="5">
        <v>26.2</v>
      </c>
      <c r="F77" s="4"/>
      <c r="H77" s="4"/>
    </row>
    <row r="78" spans="2:8" x14ac:dyDescent="0.2">
      <c r="C78" s="2" t="s">
        <v>89</v>
      </c>
      <c r="E78" s="5">
        <v>43.8</v>
      </c>
      <c r="F78" s="4">
        <v>6044</v>
      </c>
      <c r="H78" s="4"/>
    </row>
    <row r="79" spans="2:8" x14ac:dyDescent="0.2">
      <c r="E79" s="5"/>
      <c r="F79" s="4"/>
      <c r="H79" s="4"/>
    </row>
    <row r="80" spans="2:8" x14ac:dyDescent="0.2">
      <c r="E80" s="5"/>
      <c r="F80" s="4"/>
      <c r="H80" s="4"/>
    </row>
    <row r="81" spans="3:6" x14ac:dyDescent="0.2">
      <c r="C81" s="2" t="s">
        <v>36</v>
      </c>
      <c r="E81" s="2">
        <v>0</v>
      </c>
      <c r="F81" s="2">
        <f>27+45+71+165+50</f>
        <v>358</v>
      </c>
    </row>
    <row r="82" spans="3:6" x14ac:dyDescent="0.2">
      <c r="C82" s="2" t="s">
        <v>41</v>
      </c>
      <c r="E82" s="2">
        <v>82.5</v>
      </c>
      <c r="F82" s="2">
        <v>1993</v>
      </c>
    </row>
    <row r="83" spans="3:6" x14ac:dyDescent="0.2">
      <c r="C83" s="2" t="s">
        <v>57</v>
      </c>
      <c r="E83" s="2">
        <v>95</v>
      </c>
      <c r="F83" s="2">
        <f>49+49+3649+95</f>
        <v>3842</v>
      </c>
    </row>
    <row r="84" spans="3:6" x14ac:dyDescent="0.2">
      <c r="C84" s="2" t="s">
        <v>60</v>
      </c>
      <c r="E84" s="8">
        <v>97</v>
      </c>
      <c r="F84" s="2">
        <f>97+96.5+92+49+51+49+99+52.5+48.5+50+49+94.5+97.5+97.5+51+52+47.5+48+48+47+47.5+239+47+52.5+47.5+96.5+143+146+49.5+93+49+103.5+99+102.5+98+160+149+160+144+160.5+49+113.5+50+44+88+44+87+87+86.5+86+43.5+89.5+45.5+43+44+43+43+44+45+90+183+88.5+182+45+137+90+127.5+183.5+135+215.5+90+91.5+85.5+90+133+128+90+129.5+128+44.5+129+88+168+83+126+39+120+87.5+81+83+89.5+84.5+7694.5</f>
        <v>16039</v>
      </c>
    </row>
    <row r="85" spans="3:6" x14ac:dyDescent="0.2">
      <c r="C85" s="2" t="s">
        <v>68</v>
      </c>
      <c r="E85" s="2">
        <v>19</v>
      </c>
      <c r="F85" s="2">
        <v>19</v>
      </c>
    </row>
    <row r="86" spans="3:6" x14ac:dyDescent="0.2">
      <c r="C86" s="2" t="s">
        <v>73</v>
      </c>
      <c r="E86" s="2">
        <v>10</v>
      </c>
      <c r="F86" s="2">
        <v>10</v>
      </c>
    </row>
    <row r="87" spans="3:6" x14ac:dyDescent="0.2">
      <c r="C87" s="2" t="s">
        <v>74</v>
      </c>
      <c r="E87" s="2">
        <f>E23</f>
        <v>102</v>
      </c>
      <c r="F87" s="2">
        <f>F23</f>
        <v>133133</v>
      </c>
    </row>
    <row r="88" spans="3:6" x14ac:dyDescent="0.2">
      <c r="C88" s="2" t="s">
        <v>96</v>
      </c>
      <c r="E88" s="2">
        <v>16.5</v>
      </c>
      <c r="F88" s="2">
        <f>16.5+45+19+2+9+5+7+7+7.5+7.5+10.5+8+8+8+8+8+8+7.5+6.5+13</f>
        <v>211</v>
      </c>
    </row>
    <row r="89" spans="3:6" x14ac:dyDescent="0.2">
      <c r="C89" s="2" t="s">
        <v>99</v>
      </c>
      <c r="E89" s="2">
        <v>46</v>
      </c>
      <c r="F89" s="2">
        <v>46</v>
      </c>
    </row>
    <row r="90" spans="3:6" x14ac:dyDescent="0.2">
      <c r="C90" s="2" t="s">
        <v>111</v>
      </c>
      <c r="E90" s="2">
        <v>26.65</v>
      </c>
      <c r="F90" s="2">
        <v>163.95</v>
      </c>
    </row>
    <row r="91" spans="3:6" x14ac:dyDescent="0.2">
      <c r="C91" s="2" t="s">
        <v>113</v>
      </c>
      <c r="E91" s="8">
        <v>94.5</v>
      </c>
      <c r="F91" s="2">
        <f>94.5+126+98+38+32+42+42+33+39.5+31+30+88+82+40+120+40+40+78+118.5+40+80+82.5+82+47.5+47.5+43+85+43+86.5+80+44+85+43+82.5+45+45+45+85.5+40.5+45+42+42+82.5+47.5+30+58+132+52.5+23+11.5+24+18.5+43+43.5+15+67.5+24+25.5+37.5+67.5+120+101.5+90+36.5+120+84+24+138.5+254+127.5+45+97.5+47+97.5+52.5+49+52.5+105+62+49+99.5+105+50+51+96+25+90+69+40</f>
        <v>5755.5</v>
      </c>
    </row>
  </sheetData>
  <pageMargins left="0.7" right="0.7" top="0.75" bottom="0.75" header="0.3" footer="0.3"/>
  <pageSetup paperSize="9" orientation="portrait" r:id="rId1"/>
  <headerFooter>
    <oddFooter>&amp;L&amp;1#&amp;"Calibri"&amp;8&amp;K000000Bu dokümanda HASSAS bilgi bulunmamaktadır. / This document does not contain SENSITIVE information.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6656BB46C3EA84DACC3B4D27BCF56AA" ma:contentTypeVersion="7" ma:contentTypeDescription="Yeni belge oluşturun." ma:contentTypeScope="" ma:versionID="66b8ce52191bfd645208f88ea10a4af4">
  <xsd:schema xmlns:xsd="http://www.w3.org/2001/XMLSchema" xmlns:xs="http://www.w3.org/2001/XMLSchema" xmlns:p="http://schemas.microsoft.com/office/2006/metadata/properties" xmlns:ns3="b59c3024-393e-4967-90d0-815ed32b9f57" targetNamespace="http://schemas.microsoft.com/office/2006/metadata/properties" ma:root="true" ma:fieldsID="8c04358d52d22ab7cd5df6384b72d789" ns3:_="">
    <xsd:import namespace="b59c3024-393e-4967-90d0-815ed32b9f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c3024-393e-4967-90d0-815ed32b9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0230E-246C-4BA1-BD95-3CAAACC96D3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59c3024-393e-4967-90d0-815ed32b9f5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A0A433-3976-4046-859F-D70B8975F1DF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F8889B-FB93-44B6-831A-48969D15B9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Anasayfa</vt:lpstr>
      <vt:lpstr>A.K. İLERLEME</vt:lpstr>
      <vt:lpstr>M.B. İLERLEME</vt:lpstr>
      <vt:lpstr>Şablon</vt:lpstr>
      <vt:lpstr>Anasayfa!Yazdırma_Alanı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Hakan Aykut</cp:lastModifiedBy>
  <cp:lastPrinted>2025-12-10T13:47:18Z</cp:lastPrinted>
  <dcterms:created xsi:type="dcterms:W3CDTF">2014-01-11T11:36:03Z</dcterms:created>
  <dcterms:modified xsi:type="dcterms:W3CDTF">2025-12-12T18:13:47Z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0x010100D6656BB46C3EA84DACC3B4D27BCF56AA</vt:lpwstr>
  </property>
  <property fmtid="{D5CDD505-2E9C-101B-9397-08002B2CF9AE}" pid="3" name="MSIP_Label_e37d9e9d-f81c-48e8-a6ce-76493d27b762_Enabled">
    <vt:lpwstr>true</vt:lpwstr>
  </property>
  <property fmtid="{D5CDD505-2E9C-101B-9397-08002B2CF9AE}" pid="4" name="MSIP_Label_e37d9e9d-f81c-48e8-a6ce-76493d27b762_SetDate">
    <vt:lpwstr>2022-03-07T13:24:01Z</vt:lpwstr>
  </property>
  <property fmtid="{D5CDD505-2E9C-101B-9397-08002B2CF9AE}" pid="5" name="MSIP_Label_e37d9e9d-f81c-48e8-a6ce-76493d27b762_Method">
    <vt:lpwstr>Standard</vt:lpwstr>
  </property>
  <property fmtid="{D5CDD505-2E9C-101B-9397-08002B2CF9AE}" pid="6" name="MSIP_Label_e37d9e9d-f81c-48e8-a6ce-76493d27b762_Name">
    <vt:lpwstr>e37d9e9d-f81c-48e8-a6ce-76493d27b762</vt:lpwstr>
  </property>
  <property fmtid="{D5CDD505-2E9C-101B-9397-08002B2CF9AE}" pid="7" name="MSIP_Label_e37d9e9d-f81c-48e8-a6ce-76493d27b762_SiteId">
    <vt:lpwstr>cc76235c-86ab-4979-bc0b-0e78c66edb7c</vt:lpwstr>
  </property>
  <property fmtid="{D5CDD505-2E9C-101B-9397-08002B2CF9AE}" pid="8" name="MSIP_Label_e37d9e9d-f81c-48e8-a6ce-76493d27b762_ActionId">
    <vt:lpwstr>ea7a1cf1-d996-4d3f-af4f-47fd451c4272</vt:lpwstr>
  </property>
  <property fmtid="{D5CDD505-2E9C-101B-9397-08002B2CF9AE}" pid="9" name="MSIP_Label_e37d9e9d-f81c-48e8-a6ce-76493d27b762_ContentBits">
    <vt:lpwstr>2</vt:lpwstr>
  </property>
</Properties>
</file>